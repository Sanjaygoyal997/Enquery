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comments/comment1.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10.xml" ContentType="application/vnd.openxmlformats-officedocument.spreadsheetml.table+xml"/>
  <Override PartName="/xl/worksheets/sheet9.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983" firstSheet="0" activeTab="2" autoFilterDateGrouping="1"/>
  </bookViews>
  <sheets>
    <sheet xmlns:r="http://schemas.openxmlformats.org/officeDocument/2006/relationships" name="Summary" sheetId="1" state="visible" r:id="rId1"/>
    <sheet xmlns:r="http://schemas.openxmlformats.org/officeDocument/2006/relationships" name="1. Requirements" sheetId="2" state="visible" r:id="rId2"/>
    <sheet xmlns:r="http://schemas.openxmlformats.org/officeDocument/2006/relationships" name="2.Effort Estimation" sheetId="3" state="visible" r:id="rId3"/>
    <sheet xmlns:r="http://schemas.openxmlformats.org/officeDocument/2006/relationships" name="3.Planned Schedule" sheetId="4" state="visible" r:id="rId4"/>
    <sheet xmlns:r="http://schemas.openxmlformats.org/officeDocument/2006/relationships" name="4.Planned Expenses" sheetId="5" state="visible" r:id="rId5"/>
    <sheet xmlns:r="http://schemas.openxmlformats.org/officeDocument/2006/relationships" name="5. Success Factors" sheetId="6" state="visible" r:id="rId6"/>
    <sheet xmlns:r="http://schemas.openxmlformats.org/officeDocument/2006/relationships" name="6. Overall- RACI" sheetId="7" state="visible" r:id="rId7"/>
    <sheet xmlns:r="http://schemas.openxmlformats.org/officeDocument/2006/relationships" name="7. Project RACI" sheetId="8" state="visible" r:id="rId8"/>
    <sheet xmlns:r="http://schemas.openxmlformats.org/officeDocument/2006/relationships" name="Data" sheetId="9" state="hidden" r:id="rId9"/>
  </sheets>
  <externalReferences>
    <externalReference xmlns:r="http://schemas.openxmlformats.org/officeDocument/2006/relationships" r:id="rId10"/>
  </externalReferences>
  <definedNames>
    <definedName name="Last_Row">IF(Values_Entered,Header_Row+Number_of_Payments,Header_Row)</definedName>
    <definedName name="Number_of_Payments">MATCH(0.01,End_Bal,-1)+1</definedName>
    <definedName name="PeriodInPlan">#N/A</definedName>
    <definedName name="Values_Entered">IF(Loan_Amount*Interest_Rate*Loan_Years*Loan_Start&gt;0,1,0)</definedName>
    <definedName name="Last_Row" localSheetId="1">IF('1. Requirements'!Values_Entered,Header_Row+'1. Requirements'!Number_of_Payments,Header_Row)</definedName>
    <definedName name="Number_of_Payments" localSheetId="1">MATCH(0.01,End_Bal,-1)+1</definedName>
    <definedName name="PeriodInPlan" localSheetId="1">#N/A</definedName>
    <definedName name="Values_Entered" localSheetId="1">IF(Loan_Amount*Interest_Rate*Loan_Years*Loan_Start&gt;0,1,0)</definedName>
    <definedName name="Actual" localSheetId="3">(#REF!*(#REF!&gt;0))*#REF!</definedName>
    <definedName name="ActualBeyond" localSheetId="3">#REF!*(#REF!&gt;0)</definedName>
    <definedName name="PercentComplete" localSheetId="3">#REF!*#REF!</definedName>
    <definedName name="PercentCompleteBeyond" localSheetId="3">(#REF!=MEDIAN(#REF!,#REF!,#REF!+#REF!)*(#REF!&gt;0))*((#REF!&lt;(INT(#REF!+#REF!*#REF!)))+(#REF!=#REF!))*(#REF!&gt;0)</definedName>
    <definedName name="period_selected" localSheetId="3">#REF!</definedName>
    <definedName name="Plan" localSheetId="3">#REF!*(#REF!&gt;0)</definedName>
    <definedName name="Last_Row" localSheetId="6">IF('6. Overall- RACI'!Values_Entered,Header_Row+'6. Overall- RACI'!Number_of_Payments,Header_Row)</definedName>
    <definedName name="Number_of_Payments" localSheetId="6">MATCH(0.01,End_Bal,-1)+1</definedName>
    <definedName name="PeriodInPlan" localSheetId="6">[1]!F(6+#REF!):[1]!F(6+#REF!+#REF!)</definedName>
    <definedName name="TitleRegion..BO60" localSheetId="6">#REF!</definedName>
    <definedName name="Values_Entered" localSheetId="6">IF(Loan_Amount*Interest_Rate*Loan_Years*Loan_Start&gt;0,1,0)</definedName>
  </definedNames>
  <calcPr calcId="191028" fullCalcOnLoad="1"/>
</workbook>
</file>

<file path=xl/styles.xml><?xml version="1.0" encoding="utf-8"?>
<styleSheet xmlns="http://schemas.openxmlformats.org/spreadsheetml/2006/main">
  <numFmts count="8">
    <numFmt numFmtId="164" formatCode="_ &quot;₹&quot;\ * #,##0_ ;_ &quot;₹&quot;\ * \-#,##0_ ;_ &quot;₹&quot;\ * &quot;-&quot;??_ ;_ @_ "/>
    <numFmt numFmtId="165" formatCode="_ [$€-2]\ * #,##0.00_ ;_ [$€-2]\ * \-#,##0.00_ ;_ [$€-2]\ * &quot;-&quot;??_ ;_ @_ "/>
    <numFmt numFmtId="166" formatCode="_ [$₹-4009]\ * #,##0_ ;_ [$₹-4009]\ * \-#,##0_ ;_ [$₹-4009]\ * &quot;-&quot;??_ ;_ @_ "/>
    <numFmt numFmtId="167" formatCode="_ [$₹-4009]\ * #,##0.00_ ;_ [$₹-4009]\ * \-#,##0.00_ ;_ [$₹-4009]\ * &quot;-&quot;??_ ;_ @_ "/>
    <numFmt numFmtId="168" formatCode="0.0"/>
    <numFmt numFmtId="169" formatCode="&quot;₹&quot;\ #,##0"/>
    <numFmt numFmtId="170" formatCode="_-* #,##0.00\ _D_M_-;\-* #,##0.00\ _D_M_-;_-* &quot;-&quot;??\ _D_M_-;_-@_-"/>
    <numFmt numFmtId="171" formatCode="yyyy-mm-dd"/>
  </numFmts>
  <fonts count="61">
    <font>
      <name val="Calibri"/>
      <family val="2"/>
      <color theme="1"/>
      <sz val="11"/>
      <scheme val="minor"/>
    </font>
    <font>
      <name val="Calibri"/>
      <family val="2"/>
      <b val="1"/>
      <color theme="0"/>
      <sz val="11"/>
      <scheme val="minor"/>
    </font>
    <font>
      <name val="Calibri"/>
      <family val="2"/>
      <color theme="1"/>
      <sz val="11"/>
      <scheme val="minor"/>
    </font>
    <font>
      <name val="Calibri"/>
      <family val="2"/>
      <b val="1"/>
      <color theme="1"/>
      <sz val="11"/>
      <scheme val="minor"/>
    </font>
    <font>
      <name val="Arial"/>
      <family val="2"/>
      <color theme="1"/>
      <sz val="10"/>
    </font>
    <font>
      <name val="Arial"/>
      <family val="2"/>
      <sz val="10"/>
    </font>
    <font>
      <name val="Arial"/>
      <family val="2"/>
      <b val="1"/>
      <color theme="1"/>
      <sz val="11"/>
    </font>
    <font>
      <name val="Arial"/>
      <family val="2"/>
      <color theme="1"/>
      <sz val="11"/>
    </font>
    <font>
      <name val="Arial"/>
      <family val="2"/>
      <b val="1"/>
      <sz val="10"/>
    </font>
    <font>
      <name val="Tahoma"/>
      <family val="2"/>
      <color indexed="81"/>
      <sz val="9"/>
    </font>
    <font>
      <name val="Tahoma"/>
      <family val="2"/>
      <b val="1"/>
      <color indexed="81"/>
      <sz val="9"/>
    </font>
    <font>
      <name val="Calibri"/>
      <family val="2"/>
      <sz val="11"/>
      <scheme val="minor"/>
    </font>
    <font>
      <name val="Calibri"/>
      <family val="2"/>
      <sz val="10"/>
      <scheme val="minor"/>
    </font>
    <font>
      <name val="Arial"/>
      <family val="2"/>
      <b val="1"/>
      <color rgb="FF3F3F3F"/>
      <sz val="11"/>
    </font>
    <font>
      <name val="Arial"/>
      <family val="2"/>
      <b val="1"/>
      <color theme="3"/>
      <sz val="13"/>
    </font>
    <font>
      <name val="Arial"/>
      <family val="2"/>
      <b val="1"/>
      <color theme="3"/>
      <sz val="11"/>
    </font>
    <font>
      <name val="Arial"/>
      <family val="2"/>
      <b val="1"/>
      <color theme="3"/>
      <sz val="15"/>
    </font>
    <font>
      <name val="Calibri"/>
      <family val="2"/>
      <color rgb="FF006100"/>
      <sz val="11"/>
      <scheme val="minor"/>
    </font>
    <font>
      <name val="Calibri"/>
      <family val="2"/>
      <color rgb="FF9C0006"/>
      <sz val="11"/>
      <scheme val="minor"/>
    </font>
    <font>
      <name val="Calibri"/>
      <family val="2"/>
      <b val="1"/>
      <color theme="1" tint="0.3499862666707358"/>
      <sz val="11"/>
      <scheme val="minor"/>
    </font>
    <font>
      <name val="Calibri Light"/>
      <family val="2"/>
      <color theme="1" tint="0.249946592608417"/>
      <sz val="11"/>
      <scheme val="major"/>
    </font>
    <font>
      <name val="Calibri Light"/>
      <family val="2"/>
      <b val="1"/>
      <color theme="1" tint="0.249946592608417"/>
      <sz val="13"/>
      <scheme val="major"/>
    </font>
    <font>
      <name val="Calibri Light"/>
      <family val="2"/>
      <b val="1"/>
      <color theme="7"/>
      <sz val="13"/>
      <scheme val="major"/>
    </font>
    <font>
      <name val="Calibri"/>
      <family val="2"/>
      <sz val="8"/>
      <scheme val="minor"/>
    </font>
    <font>
      <name val="Calibri"/>
      <family val="2"/>
      <color theme="1"/>
      <sz val="10"/>
      <scheme val="minor"/>
    </font>
    <font>
      <name val="Calibri"/>
      <family val="2"/>
      <color theme="1" tint="0.249946592608417"/>
      <sz val="9"/>
      <scheme val="minor"/>
    </font>
    <font>
      <name val="Calibri"/>
      <family val="2"/>
      <b val="1"/>
      <color theme="0" tint="-0.249977111117893"/>
      <sz val="12"/>
      <scheme val="minor"/>
    </font>
    <font>
      <name val="Calibri"/>
      <family val="2"/>
      <color theme="0" tint="-0.249977111117893"/>
      <sz val="11"/>
      <scheme val="minor"/>
    </font>
    <font>
      <name val="Calibri"/>
      <family val="2"/>
      <b val="1"/>
      <color rgb="FF002060"/>
      <sz val="11"/>
      <scheme val="minor"/>
    </font>
    <font>
      <name val="Calibri"/>
      <family val="2"/>
      <color rgb="FF002060"/>
      <sz val="11"/>
      <scheme val="minor"/>
    </font>
    <font>
      <name val="Calibri"/>
      <family val="2"/>
      <b val="1"/>
      <color rgb="FF002060"/>
      <sz val="10"/>
      <scheme val="minor"/>
    </font>
    <font>
      <name val="Calibri"/>
      <family val="2"/>
      <b val="1"/>
      <color rgb="FF002060"/>
      <sz val="14"/>
      <scheme val="minor"/>
    </font>
    <font>
      <name val="Calibri"/>
      <family val="2"/>
      <b val="1"/>
      <color rgb="FF002060"/>
      <sz val="8"/>
      <scheme val="minor"/>
    </font>
    <font>
      <name val="Calibri"/>
      <family val="2"/>
      <b val="1"/>
      <color rgb="FF002060"/>
      <sz val="12"/>
      <scheme val="minor"/>
    </font>
    <font>
      <name val="Calibri"/>
      <family val="2"/>
      <color theme="0"/>
      <sz val="11"/>
      <scheme val="minor"/>
    </font>
    <font>
      <name val="Arial"/>
      <family val="2"/>
      <b val="1"/>
      <color theme="0"/>
      <sz val="14"/>
    </font>
    <font>
      <name val="Calibri"/>
      <family val="2"/>
      <b val="1"/>
      <color theme="0"/>
      <sz val="10"/>
      <scheme val="minor"/>
    </font>
    <font>
      <name val="Calibri"/>
      <family val="2"/>
      <b val="1"/>
      <color theme="0"/>
      <sz val="12"/>
      <scheme val="minor"/>
    </font>
    <font>
      <name val="Calibri"/>
      <family val="2"/>
      <color theme="0"/>
      <sz val="10"/>
      <scheme val="minor"/>
    </font>
    <font>
      <name val="Arial"/>
      <family val="2"/>
      <b val="1"/>
      <color theme="0"/>
      <sz val="18"/>
    </font>
    <font>
      <name val="Arial"/>
      <family val="2"/>
      <b val="1"/>
      <i val="1"/>
      <color theme="0"/>
      <sz val="11"/>
    </font>
    <font>
      <name val="Calibri"/>
      <family val="2"/>
      <color theme="1"/>
      <sz val="14"/>
      <scheme val="minor"/>
    </font>
    <font>
      <name val="Calibri"/>
      <family val="2"/>
      <b val="1"/>
      <color theme="0"/>
      <sz val="14"/>
      <scheme val="minor"/>
    </font>
    <font>
      <name val="Calibri"/>
      <family val="2"/>
      <b val="1"/>
      <color theme="0"/>
      <sz val="16"/>
      <scheme val="minor"/>
    </font>
    <font>
      <name val="Arial"/>
      <family val="2"/>
      <sz val="9"/>
    </font>
    <font>
      <name val="Calibri"/>
      <family val="2"/>
      <color theme="1"/>
      <sz val="9"/>
      <scheme val="minor"/>
    </font>
    <font>
      <name val="Calibri"/>
      <family val="2"/>
      <b val="1"/>
      <sz val="20"/>
      <scheme val="minor"/>
    </font>
    <font>
      <name val="Calibri"/>
      <family val="2"/>
      <b val="1"/>
      <sz val="12"/>
      <scheme val="minor"/>
    </font>
    <font>
      <name val="Calibri"/>
      <family val="2"/>
      <color theme="1"/>
      <sz val="12"/>
      <scheme val="minor"/>
    </font>
    <font>
      <name val="Calibri"/>
      <family val="2"/>
      <b val="1"/>
      <color rgb="FFFF0000"/>
      <sz val="18"/>
      <scheme val="minor"/>
    </font>
    <font>
      <name val="Calibri"/>
      <family val="2"/>
      <b val="1"/>
      <color rgb="FFFF0000"/>
      <sz val="22"/>
      <scheme val="minor"/>
    </font>
    <font>
      <name val="Calibri"/>
      <family val="2"/>
      <b val="1"/>
      <color theme="1"/>
      <sz val="16"/>
      <scheme val="minor"/>
    </font>
    <font>
      <name val="Calibri"/>
      <family val="2"/>
      <b val="1"/>
      <color theme="1"/>
      <sz val="18"/>
      <scheme val="minor"/>
    </font>
    <font>
      <name val="Calibri"/>
      <family val="2"/>
      <color rgb="FF000000"/>
      <sz val="9"/>
      <scheme val="minor"/>
    </font>
    <font>
      <name val="Calibri"/>
      <family val="2"/>
      <color theme="1"/>
      <sz val="8"/>
      <scheme val="minor"/>
    </font>
    <font>
      <name val="Calibri"/>
      <family val="2"/>
      <b val="1"/>
      <color theme="0"/>
      <sz val="8"/>
      <scheme val="minor"/>
    </font>
    <font>
      <name val="Calibri"/>
      <family val="2"/>
      <color theme="0"/>
      <sz val="8"/>
      <scheme val="minor"/>
    </font>
    <font>
      <name val="Calibri"/>
      <family val="2"/>
      <b val="1"/>
      <color theme="1"/>
      <sz val="10"/>
      <scheme val="minor"/>
    </font>
    <font>
      <name val="Calibri"/>
      <family val="2"/>
      <b val="1"/>
      <color theme="1"/>
      <sz val="14"/>
      <scheme val="minor"/>
    </font>
    <font>
      <name val="Arial"/>
      <family val="2"/>
      <color theme="0"/>
      <sz val="10"/>
    </font>
    <font>
      <name val="Calibri"/>
      <family val="2"/>
      <b val="1"/>
      <color rgb="FFFF0000"/>
      <sz val="20"/>
      <scheme val="minor"/>
    </font>
  </fonts>
  <fills count="21">
    <fill>
      <patternFill/>
    </fill>
    <fill>
      <patternFill patternType="gray125"/>
    </fill>
    <fill>
      <patternFill patternType="solid">
        <fgColor rgb="FFA5A5A5"/>
      </patternFill>
    </fill>
    <fill>
      <patternFill patternType="solid">
        <fgColor theme="0"/>
        <bgColor indexed="64"/>
      </patternFill>
    </fill>
    <fill>
      <patternFill patternType="solid">
        <fgColor theme="7" tint="0.3999755851924192"/>
        <bgColor indexed="64"/>
      </patternFill>
    </fill>
    <fill>
      <patternFill patternType="solid">
        <fgColor theme="4" tint="0.5999938962981048"/>
        <bgColor indexed="64"/>
      </patternFill>
    </fill>
    <fill>
      <patternFill patternType="solid">
        <fgColor theme="4" tint="0.7999816888943144"/>
        <bgColor indexed="64"/>
      </patternFill>
    </fill>
    <fill>
      <patternFill patternType="solid">
        <fgColor rgb="FFFFFFCC"/>
      </patternFill>
    </fill>
    <fill>
      <patternFill patternType="solid">
        <fgColor theme="4" tint="0.3999755851924192"/>
        <bgColor indexed="65"/>
      </patternFill>
    </fill>
    <fill>
      <patternFill patternType="solid">
        <fgColor theme="4" tint="0.3999755851924192"/>
        <bgColor indexed="64"/>
      </patternFill>
    </fill>
    <fill>
      <patternFill patternType="solid">
        <fgColor rgb="FFFFFF00"/>
        <bgColor indexed="64"/>
      </patternFill>
    </fill>
    <fill>
      <patternFill patternType="solid">
        <fgColor theme="3" tint="0.7999816888943144"/>
        <bgColor indexed="64"/>
      </patternFill>
    </fill>
    <fill>
      <patternFill patternType="solid">
        <fgColor theme="0" tint="-0.0499893185216834"/>
        <bgColor indexed="64"/>
      </patternFill>
    </fill>
    <fill>
      <patternFill patternType="solid">
        <fgColor theme="0" tint="-0.1499984740745262"/>
        <bgColor indexed="64"/>
      </patternFill>
    </fill>
    <fill>
      <patternFill patternType="solid">
        <fgColor rgb="FF002060"/>
        <bgColor indexed="64"/>
      </patternFill>
    </fill>
    <fill>
      <patternFill patternType="solid">
        <fgColor rgb="FFF2F2F2"/>
      </patternFill>
    </fill>
    <fill>
      <patternFill patternType="solid">
        <fgColor rgb="FFC6EFCE"/>
      </patternFill>
    </fill>
    <fill>
      <patternFill patternType="solid">
        <fgColor rgb="FFFFC7CE"/>
      </patternFill>
    </fill>
    <fill>
      <patternFill patternType="solid">
        <fgColor theme="4" tint="0.7999816888943144"/>
        <bgColor theme="4" tint="0.7999816888943144"/>
      </patternFill>
    </fill>
    <fill>
      <patternFill patternType="solid">
        <fgColor rgb="FF002060"/>
        <bgColor theme="4"/>
      </patternFill>
    </fill>
    <fill>
      <patternFill patternType="solid">
        <fgColor theme="1"/>
        <bgColor indexed="64"/>
      </patternFill>
    </fill>
  </fills>
  <borders count="99">
    <border>
      <left/>
      <right/>
      <top/>
      <bottom/>
      <diagonal/>
    </border>
    <border>
      <left style="thin">
        <color indexed="64"/>
      </left>
      <right style="thin">
        <color indexed="64"/>
      </right>
      <top style="thin">
        <color indexed="64"/>
      </top>
      <bottom style="thin">
        <color indexed="64"/>
      </bottom>
      <diagonal/>
    </border>
    <border>
      <left style="double">
        <color rgb="FF3F3F3F"/>
      </left>
      <right style="double">
        <color rgb="FF3F3F3F"/>
      </right>
      <top style="double">
        <color rgb="FF3F3F3F"/>
      </top>
      <bottom style="double">
        <color rgb="FF3F3F3F"/>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bottom/>
      <diagonal/>
    </border>
    <border>
      <left/>
      <right/>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double">
        <color rgb="FF3F3F3F"/>
      </left>
      <right style="double">
        <color rgb="FF3F3F3F"/>
      </right>
      <top style="double">
        <color rgb="FF3F3F3F"/>
      </top>
      <bottom/>
      <diagonal/>
    </border>
    <border>
      <left style="medium">
        <color indexed="64"/>
      </left>
      <right/>
      <top style="medium">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diagonal/>
    </border>
    <border>
      <left style="thin">
        <color indexed="64"/>
      </left>
      <right/>
      <top style="medium">
        <color indexed="64"/>
      </top>
      <bottom/>
      <diagonal/>
    </border>
    <border>
      <left/>
      <right style="medium">
        <color indexed="64"/>
      </right>
      <top style="thin">
        <color indexed="64"/>
      </top>
      <bottom/>
      <diagonal/>
    </border>
    <border>
      <left style="thin">
        <color indexed="64"/>
      </left>
      <right/>
      <top/>
      <bottom style="thin">
        <color indexed="64"/>
      </bottom>
      <diagonal/>
    </border>
    <border>
      <left style="thin">
        <color rgb="FFB2B2B2"/>
      </left>
      <right style="thin">
        <color rgb="FFB2B2B2"/>
      </right>
      <top style="thin">
        <color rgb="FFB2B2B2"/>
      </top>
      <bottom style="thin">
        <color rgb="FFB2B2B2"/>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diagonal/>
    </border>
    <border>
      <left style="medium">
        <color indexed="64"/>
      </left>
      <right/>
      <top style="medium">
        <color indexed="64"/>
      </top>
      <bottom style="thin">
        <color rgb="FFB2B2B2"/>
      </bottom>
      <diagonal/>
    </border>
    <border>
      <left/>
      <right/>
      <top style="medium">
        <color indexed="64"/>
      </top>
      <bottom style="thin">
        <color rgb="FFB2B2B2"/>
      </bottom>
      <diagonal/>
    </border>
    <border>
      <left/>
      <right style="medium">
        <color indexed="64"/>
      </right>
      <top style="medium">
        <color indexed="64"/>
      </top>
      <bottom style="thin">
        <color rgb="FFB2B2B2"/>
      </bottom>
      <diagonal/>
    </border>
    <border>
      <left style="medium">
        <color indexed="64"/>
      </left>
      <right style="double">
        <color rgb="FF3F3F3F"/>
      </right>
      <top style="thin">
        <color rgb="FFB2B2B2"/>
      </top>
      <bottom style="medium">
        <color indexed="64"/>
      </bottom>
      <diagonal/>
    </border>
    <border>
      <left style="double">
        <color rgb="FF3F3F3F"/>
      </left>
      <right style="double">
        <color rgb="FF3F3F3F"/>
      </right>
      <top style="thin">
        <color rgb="FFB2B2B2"/>
      </top>
      <bottom style="medium">
        <color indexed="64"/>
      </bottom>
      <diagonal/>
    </border>
    <border>
      <left style="double">
        <color rgb="FF3F3F3F"/>
      </left>
      <right style="medium">
        <color indexed="64"/>
      </right>
      <top style="thin">
        <color rgb="FFB2B2B2"/>
      </top>
      <bottom style="medium">
        <color indexed="64"/>
      </bottom>
      <diagonal/>
    </border>
    <border>
      <left/>
      <right style="thin">
        <color indexed="64"/>
      </right>
      <top style="medium">
        <color indexed="64"/>
      </top>
      <bottom style="thin">
        <color indexed="64"/>
      </bottom>
      <diagonal/>
    </border>
    <border>
      <left style="medium">
        <color indexed="64"/>
      </left>
      <right style="medium">
        <color indexed="64"/>
      </right>
      <top/>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style="medium">
        <color indexed="64"/>
      </left>
      <right/>
      <top/>
      <bottom/>
      <diagonal/>
    </border>
    <border>
      <left style="medium">
        <color indexed="64"/>
      </left>
      <right style="thin">
        <color indexed="64"/>
      </right>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bottom style="medium">
        <color indexed="64"/>
      </bottom>
      <diagonal/>
    </border>
    <border>
      <left style="medium">
        <color indexed="64"/>
      </left>
      <right/>
      <top style="medium">
        <color indexed="64"/>
      </top>
      <bottom style="thin">
        <color indexed="64"/>
      </bottom>
      <diagonal/>
    </border>
    <border>
      <left/>
      <right style="thin">
        <color indexed="64"/>
      </right>
      <top style="medium">
        <color indexed="64"/>
      </top>
      <bottom/>
      <diagonal/>
    </border>
    <border>
      <left style="medium">
        <color indexed="64"/>
      </left>
      <right/>
      <top/>
      <bottom style="medium">
        <color indexed="64"/>
      </bottom>
      <diagonal/>
    </border>
    <border>
      <left/>
      <right style="thin">
        <color rgb="FFB2B2B2"/>
      </right>
      <top style="thin">
        <color indexed="64"/>
      </top>
      <bottom/>
      <diagonal/>
    </border>
    <border>
      <left style="medium">
        <color indexed="64"/>
      </left>
      <right style="thin">
        <color rgb="FFB2B2B2"/>
      </right>
      <top/>
      <bottom style="medium">
        <color indexed="64"/>
      </bottom>
      <diagonal/>
    </border>
    <border>
      <left style="thin">
        <color rgb="FFB2B2B2"/>
      </left>
      <right style="thin">
        <color rgb="FFB2B2B2"/>
      </right>
      <top/>
      <bottom style="medium">
        <color indexed="64"/>
      </bottom>
      <diagonal/>
    </border>
    <border>
      <left style="thin">
        <color rgb="FFB2B2B2"/>
      </left>
      <right style="medium">
        <color indexed="64"/>
      </right>
      <top/>
      <bottom style="medium">
        <color indexed="64"/>
      </bottom>
      <diagonal/>
    </border>
    <border>
      <left style="medium">
        <color indexed="64"/>
      </left>
      <right/>
      <top style="thin">
        <color indexed="64"/>
      </top>
      <bottom/>
      <diagonal/>
    </border>
    <border>
      <left style="thin">
        <color indexed="64"/>
      </left>
      <right/>
      <top style="medium">
        <color indexed="64"/>
      </top>
      <bottom style="thin">
        <color indexed="64"/>
      </bottom>
      <diagonal/>
    </border>
    <border>
      <left style="double">
        <color rgb="FF3F3F3F"/>
      </left>
      <right/>
      <top style="double">
        <color rgb="FF3F3F3F"/>
      </top>
      <bottom/>
      <diagonal/>
    </border>
    <border>
      <left style="medium">
        <color indexed="64"/>
      </left>
      <right style="thin">
        <color indexed="64"/>
      </right>
      <top/>
      <bottom style="medium">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3F3F3F"/>
      </left>
      <right style="thin">
        <color rgb="FF3F3F3F"/>
      </right>
      <top style="thin">
        <color rgb="FF3F3F3F"/>
      </top>
      <bottom style="thin">
        <color rgb="FF3F3F3F"/>
      </bottom>
      <diagonal/>
    </border>
    <border>
      <left style="medium">
        <color indexed="64"/>
      </left>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style="thin">
        <color theme="4" tint="0.3999755851924192"/>
      </bottom>
      <diagonal/>
    </border>
    <border>
      <left style="thin">
        <color indexed="64"/>
      </left>
      <right style="medium">
        <color indexed="64"/>
      </right>
      <top style="thin">
        <color indexed="64"/>
      </top>
      <bottom/>
      <diagonal/>
    </border>
    <border>
      <left/>
      <right style="thin">
        <color indexed="64"/>
      </right>
      <top style="thin">
        <color indexed="64"/>
      </top>
      <bottom style="thin">
        <color theme="4" tint="0.3999755851924192"/>
      </bottom>
      <diagonal/>
    </border>
    <border>
      <left/>
      <right/>
      <top/>
      <bottom style="thin">
        <color theme="7"/>
      </bottom>
      <diagonal/>
    </border>
    <border>
      <left/>
      <right/>
      <top style="medium">
        <color indexed="64"/>
      </top>
      <bottom style="thin">
        <color indexed="64"/>
      </bottom>
      <diagonal/>
    </border>
    <border>
      <left/>
      <right style="medium">
        <color indexed="64"/>
      </right>
      <top/>
      <bottom style="thin">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right style="thin">
        <color indexed="64"/>
      </right>
      <top/>
      <bottom style="medium">
        <color indexed="64"/>
      </bottom>
      <diagonal/>
    </border>
    <border>
      <left/>
      <right/>
      <top style="thin">
        <color indexed="64"/>
      </top>
      <bottom style="medium">
        <color indexed="64"/>
      </bottom>
      <diagonal/>
    </border>
    <border>
      <left style="thin">
        <color indexed="64"/>
      </left>
      <right/>
      <top style="medium">
        <color indexed="64"/>
      </top>
      <bottom style="dotted">
        <color indexed="64"/>
      </bottom>
      <diagonal/>
    </border>
    <border>
      <left/>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thin">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style="medium">
        <color indexed="64"/>
      </right>
      <top style="medium">
        <color indexed="64"/>
      </top>
      <bottom style="thin">
        <color rgb="FFB2B2B2"/>
      </bottom>
      <diagonal/>
    </border>
    <border>
      <left/>
      <right style="thin">
        <color rgb="FFB2B2B2"/>
      </right>
      <top/>
      <bottom/>
      <diagonal/>
    </border>
    <border>
      <left/>
      <right style="thin">
        <color rgb="FFB2B2B2"/>
      </right>
      <top/>
      <bottom style="medium">
        <color indexed="64"/>
      </bottom>
      <diagonal/>
    </border>
    <border>
      <left style="medium">
        <color indexed="64"/>
      </left>
      <right style="thin">
        <color rgb="FFB2B2B2"/>
      </right>
      <top style="thin">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bottom style="medium">
        <color indexed="64"/>
      </bottom>
      <diagonal/>
    </border>
  </borders>
  <cellStyleXfs count="24">
    <xf numFmtId="0" fontId="2" fillId="0" borderId="0"/>
    <xf numFmtId="0" fontId="1" fillId="2" borderId="2"/>
    <xf numFmtId="0" fontId="5" fillId="0" borderId="0"/>
    <xf numFmtId="0" fontId="2" fillId="7" borderId="37"/>
    <xf numFmtId="0" fontId="2" fillId="8" borderId="0"/>
    <xf numFmtId="0" fontId="2" fillId="0" borderId="0"/>
    <xf numFmtId="9" fontId="2" fillId="0" borderId="0"/>
    <xf numFmtId="0" fontId="5" fillId="0" borderId="0"/>
    <xf numFmtId="170" fontId="5" fillId="0" borderId="0"/>
    <xf numFmtId="9" fontId="5" fillId="0" borderId="0"/>
    <xf numFmtId="44" fontId="5" fillId="0" borderId="0"/>
    <xf numFmtId="0" fontId="13" fillId="15" borderId="70"/>
    <xf numFmtId="9" fontId="5" fillId="0" borderId="0"/>
    <xf numFmtId="170" fontId="5" fillId="0" borderId="0"/>
    <xf numFmtId="0" fontId="14" fillId="0" borderId="68"/>
    <xf numFmtId="0" fontId="15" fillId="0" borderId="69"/>
    <xf numFmtId="0" fontId="16" fillId="0" borderId="67"/>
    <xf numFmtId="0" fontId="17" fillId="16" borderId="0"/>
    <xf numFmtId="0" fontId="18" fillId="17" borderId="0"/>
    <xf numFmtId="0" fontId="19" fillId="0" borderId="0" applyAlignment="1">
      <alignment horizontal="left"/>
    </xf>
    <xf numFmtId="0" fontId="20" fillId="0" borderId="0" applyAlignment="1">
      <alignment horizontal="center" vertical="center"/>
    </xf>
    <xf numFmtId="3" fontId="19" fillId="0" borderId="77" applyAlignment="1">
      <alignment horizontal="center"/>
    </xf>
    <xf numFmtId="0" fontId="21" fillId="0" borderId="0" applyAlignment="1">
      <alignment horizontal="left" wrapText="1"/>
    </xf>
    <xf numFmtId="9" fontId="22" fillId="0" borderId="0" applyAlignment="1">
      <alignment horizontal="center" vertical="center"/>
    </xf>
  </cellStyleXfs>
  <cellXfs count="587">
    <xf numFmtId="0" fontId="0" fillId="0" borderId="0" pivotButton="0" quotePrefix="0" xfId="0"/>
    <xf numFmtId="0" fontId="0" fillId="3" borderId="0" pivotButton="0" quotePrefix="0" xfId="0"/>
    <xf numFmtId="0" fontId="0" fillId="0" borderId="0" applyAlignment="1" pivotButton="0" quotePrefix="0" xfId="0">
      <alignment horizontal="center" vertical="center"/>
    </xf>
    <xf numFmtId="0" fontId="7" fillId="3" borderId="0" pivotButton="0" quotePrefix="0" xfId="0"/>
    <xf numFmtId="0" fontId="3" fillId="3" borderId="0" applyAlignment="1" pivotButton="0" quotePrefix="0" xfId="0">
      <alignment horizontal="center"/>
    </xf>
    <xf numFmtId="0" fontId="3" fillId="7" borderId="52" applyAlignment="1" pivotButton="0" quotePrefix="0" xfId="3">
      <alignment horizontal="center" vertical="center" wrapText="1"/>
    </xf>
    <xf numFmtId="0" fontId="3" fillId="7" borderId="7" applyAlignment="1" pivotButton="0" quotePrefix="0" xfId="3">
      <alignment horizontal="center" vertical="center" wrapText="1"/>
    </xf>
    <xf numFmtId="0" fontId="3" fillId="3" borderId="0" applyAlignment="1" applyProtection="1" pivotButton="0" quotePrefix="0" xfId="0">
      <alignment horizontal="center"/>
      <protection locked="0" hidden="0"/>
    </xf>
    <xf numFmtId="0" fontId="3" fillId="3" borderId="0" applyAlignment="1" pivotButton="0" quotePrefix="0" xfId="3">
      <alignment vertical="center" wrapText="1"/>
    </xf>
    <xf numFmtId="0" fontId="3" fillId="11" borderId="1" applyAlignment="1" pivotButton="0" quotePrefix="0" xfId="3">
      <alignment horizontal="left" vertical="center" wrapText="1"/>
    </xf>
    <xf numFmtId="0" fontId="2" fillId="12" borderId="8" applyAlignment="1" pivotButton="0" quotePrefix="0" xfId="3">
      <alignment horizontal="center" vertical="center" wrapText="1"/>
    </xf>
    <xf numFmtId="0" fontId="3" fillId="3" borderId="13" applyAlignment="1" pivotButton="0" quotePrefix="0" xfId="3">
      <alignment vertical="center" wrapText="1"/>
    </xf>
    <xf numFmtId="0" fontId="3" fillId="11" borderId="23" applyAlignment="1" pivotButton="0" quotePrefix="0" xfId="3">
      <alignment horizontal="center" vertical="center" wrapText="1"/>
    </xf>
    <xf numFmtId="0" fontId="3" fillId="11" borderId="6" applyAlignment="1" pivotButton="0" quotePrefix="0" xfId="3">
      <alignment horizontal="center" vertical="center" wrapText="1"/>
    </xf>
    <xf numFmtId="0" fontId="12" fillId="0" borderId="39" applyAlignment="1" applyProtection="1" pivotButton="0" quotePrefix="0" xfId="0">
      <alignment horizontal="center" vertical="center" wrapText="1"/>
      <protection locked="0" hidden="0"/>
    </xf>
    <xf numFmtId="0" fontId="12" fillId="0" borderId="39" applyAlignment="1" applyProtection="1" pivotButton="0" quotePrefix="0" xfId="0">
      <alignment horizontal="left" vertical="center" wrapText="1"/>
      <protection locked="0" hidden="0"/>
    </xf>
    <xf numFmtId="1" fontId="12" fillId="0" borderId="39" applyAlignment="1" applyProtection="1" pivotButton="0" quotePrefix="0" xfId="0">
      <alignment horizontal="center" vertical="center" wrapText="1"/>
      <protection locked="0" hidden="0"/>
    </xf>
    <xf numFmtId="9" fontId="3" fillId="3" borderId="24" applyAlignment="1" applyProtection="1" pivotButton="0" quotePrefix="0" xfId="6">
      <alignment horizontal="center" vertical="center" wrapText="1"/>
      <protection locked="0" hidden="0"/>
    </xf>
    <xf numFmtId="9" fontId="3" fillId="3" borderId="10" applyAlignment="1" applyProtection="1" pivotButton="0" quotePrefix="0" xfId="6">
      <alignment horizontal="center" vertical="center" wrapText="1"/>
      <protection locked="0" hidden="0"/>
    </xf>
    <xf numFmtId="0" fontId="0" fillId="0" borderId="0" applyAlignment="1" applyProtection="1" pivotButton="0" quotePrefix="0" xfId="0">
      <alignment horizontal="center"/>
      <protection locked="0" hidden="0"/>
    </xf>
    <xf numFmtId="0" fontId="0" fillId="0" borderId="1" applyAlignment="1" applyProtection="1" pivotButton="0" quotePrefix="0" xfId="0">
      <alignment horizontal="center"/>
      <protection locked="0" hidden="0"/>
    </xf>
    <xf numFmtId="1" fontId="0" fillId="0" borderId="1" applyAlignment="1" applyProtection="1" pivotButton="0" quotePrefix="0" xfId="0">
      <alignment horizontal="center"/>
      <protection locked="0" hidden="0"/>
    </xf>
    <xf numFmtId="1" fontId="0" fillId="0" borderId="3" applyAlignment="1" applyProtection="1" pivotButton="0" quotePrefix="0" xfId="0">
      <alignment horizontal="center"/>
      <protection locked="0" hidden="0"/>
    </xf>
    <xf numFmtId="1" fontId="0" fillId="0" borderId="64" applyAlignment="1" applyProtection="1" pivotButton="0" quotePrefix="0" xfId="0">
      <alignment horizontal="center"/>
      <protection locked="0" hidden="0"/>
    </xf>
    <xf numFmtId="164" fontId="0" fillId="0" borderId="23" applyAlignment="1" applyProtection="1" pivotButton="0" quotePrefix="0" xfId="10">
      <alignment horizontal="left" vertical="center"/>
      <protection locked="0" hidden="0"/>
    </xf>
    <xf numFmtId="164" fontId="0" fillId="0" borderId="1" applyAlignment="1" applyProtection="1" pivotButton="0" quotePrefix="0" xfId="10">
      <alignment horizontal="left"/>
      <protection locked="0" hidden="0"/>
    </xf>
    <xf numFmtId="164" fontId="0" fillId="0" borderId="24" applyAlignment="1" applyProtection="1" pivotButton="0" quotePrefix="0" xfId="10">
      <alignment horizontal="left"/>
      <protection locked="0" hidden="0"/>
    </xf>
    <xf numFmtId="0" fontId="0" fillId="0" borderId="39" applyAlignment="1" applyProtection="1" pivotButton="0" quotePrefix="0" xfId="0">
      <alignment horizontal="center"/>
      <protection locked="0" hidden="0"/>
    </xf>
    <xf numFmtId="1" fontId="0" fillId="0" borderId="39" applyAlignment="1" applyProtection="1" pivotButton="0" quotePrefix="0" xfId="0">
      <alignment horizontal="center"/>
      <protection locked="0" hidden="0"/>
    </xf>
    <xf numFmtId="1" fontId="0" fillId="0" borderId="33" applyAlignment="1" applyProtection="1" pivotButton="0" quotePrefix="0" xfId="0">
      <alignment horizontal="center"/>
      <protection locked="0" hidden="0"/>
    </xf>
    <xf numFmtId="0" fontId="0" fillId="0" borderId="0" applyProtection="1" pivotButton="0" quotePrefix="0" xfId="0">
      <protection locked="0" hidden="0"/>
    </xf>
    <xf numFmtId="0" fontId="0" fillId="3" borderId="0" applyProtection="1" pivotButton="0" quotePrefix="0" xfId="0">
      <protection locked="0" hidden="0"/>
    </xf>
    <xf numFmtId="0" fontId="27" fillId="0" borderId="3" applyAlignment="1" applyProtection="1" pivotButton="0" quotePrefix="0" xfId="20">
      <alignment horizontal="center" vertical="center"/>
      <protection locked="0" hidden="0"/>
    </xf>
    <xf numFmtId="0" fontId="30" fillId="3" borderId="56" applyAlignment="1" pivotButton="0" quotePrefix="0" xfId="19">
      <alignment vertical="center"/>
    </xf>
    <xf numFmtId="0" fontId="30" fillId="3" borderId="78" applyAlignment="1" pivotButton="0" quotePrefix="0" xfId="19">
      <alignment vertical="center"/>
    </xf>
    <xf numFmtId="0" fontId="31" fillId="3" borderId="78" applyAlignment="1" pivotButton="0" quotePrefix="0" xfId="19">
      <alignment vertical="center"/>
    </xf>
    <xf numFmtId="0" fontId="31" fillId="3" borderId="82" applyAlignment="1" pivotButton="0" quotePrefix="0" xfId="19">
      <alignment vertical="center"/>
    </xf>
    <xf numFmtId="3" fontId="32" fillId="0" borderId="84" applyAlignment="1" pivotButton="0" quotePrefix="0" xfId="21">
      <alignment horizontal="center" vertical="center" textRotation="90"/>
    </xf>
    <xf numFmtId="3" fontId="32" fillId="0" borderId="39" applyAlignment="1" pivotButton="0" quotePrefix="0" xfId="21">
      <alignment horizontal="center" vertical="center" textRotation="90"/>
    </xf>
    <xf numFmtId="3" fontId="32" fillId="0" borderId="75" applyAlignment="1" pivotButton="0" quotePrefix="0" xfId="21">
      <alignment horizontal="center" vertical="center" textRotation="90"/>
    </xf>
    <xf numFmtId="3" fontId="32" fillId="0" borderId="22" applyAlignment="1" pivotButton="0" quotePrefix="0" xfId="21">
      <alignment horizontal="center" vertical="center" textRotation="90"/>
    </xf>
    <xf numFmtId="0" fontId="25" fillId="0" borderId="12" applyAlignment="1" pivotButton="0" quotePrefix="0" xfId="20">
      <alignment horizontal="center"/>
    </xf>
    <xf numFmtId="0" fontId="25" fillId="0" borderId="0" applyAlignment="1" pivotButton="0" quotePrefix="0" xfId="20">
      <alignment horizontal="center"/>
    </xf>
    <xf numFmtId="0" fontId="25" fillId="0" borderId="13" applyAlignment="1" pivotButton="0" quotePrefix="0" xfId="20">
      <alignment horizontal="center"/>
    </xf>
    <xf numFmtId="0" fontId="25" fillId="0" borderId="14" applyAlignment="1" pivotButton="0" quotePrefix="0" xfId="20">
      <alignment horizontal="center"/>
    </xf>
    <xf numFmtId="0" fontId="25" fillId="0" borderId="15" applyAlignment="1" pivotButton="0" quotePrefix="0" xfId="20">
      <alignment horizontal="center"/>
    </xf>
    <xf numFmtId="0" fontId="1" fillId="3" borderId="0" applyAlignment="1" applyProtection="1" pivotButton="0" quotePrefix="0" xfId="1">
      <alignment vertical="center" textRotation="90"/>
      <protection locked="0" hidden="0"/>
    </xf>
    <xf numFmtId="0" fontId="8" fillId="0" borderId="11" applyAlignment="1" applyProtection="1" pivotButton="0" quotePrefix="0" xfId="0">
      <alignment horizontal="center"/>
      <protection locked="0" hidden="0"/>
    </xf>
    <xf numFmtId="0" fontId="8" fillId="0" borderId="1" applyAlignment="1" applyProtection="1" pivotButton="0" quotePrefix="0" xfId="0">
      <alignment horizontal="left" wrapText="1"/>
      <protection locked="0" hidden="0"/>
    </xf>
    <xf numFmtId="165" fontId="0" fillId="0" borderId="6" applyAlignment="1" applyProtection="1" pivotButton="0" quotePrefix="0" xfId="0">
      <alignment horizontal="center" vertical="center"/>
      <protection locked="0" hidden="0"/>
    </xf>
    <xf numFmtId="0" fontId="8" fillId="0" borderId="0" applyAlignment="1" applyProtection="1" pivotButton="0" quotePrefix="0" xfId="0">
      <alignment horizontal="center"/>
      <protection locked="0" hidden="0"/>
    </xf>
    <xf numFmtId="165" fontId="0" fillId="0" borderId="8" applyAlignment="1" applyProtection="1" pivotButton="0" quotePrefix="0" xfId="0">
      <alignment horizontal="center" vertical="center"/>
      <protection locked="0" hidden="0"/>
    </xf>
    <xf numFmtId="165" fontId="0" fillId="0" borderId="10" applyAlignment="1" applyProtection="1" pivotButton="0" quotePrefix="0" xfId="0">
      <alignment horizontal="center" vertical="center"/>
      <protection locked="0" hidden="0"/>
    </xf>
    <xf numFmtId="164" fontId="4" fillId="18" borderId="1" applyAlignment="1" applyProtection="1" pivotButton="0" quotePrefix="0" xfId="10">
      <alignment horizontal="left"/>
      <protection locked="0" hidden="0"/>
    </xf>
    <xf numFmtId="165" fontId="4" fillId="18" borderId="1" applyAlignment="1" applyProtection="1" pivotButton="0" quotePrefix="0" xfId="0">
      <alignment horizontal="center" vertical="center"/>
      <protection locked="0" hidden="0"/>
    </xf>
    <xf numFmtId="164" fontId="4" fillId="0" borderId="1" applyAlignment="1" applyProtection="1" pivotButton="0" quotePrefix="0" xfId="10">
      <alignment horizontal="left"/>
      <protection locked="0" hidden="0"/>
    </xf>
    <xf numFmtId="165" fontId="4" fillId="0" borderId="1" applyAlignment="1" applyProtection="1" pivotButton="0" quotePrefix="0" xfId="0">
      <alignment horizontal="center" vertical="center"/>
      <protection locked="0" hidden="0"/>
    </xf>
    <xf numFmtId="0" fontId="8" fillId="0" borderId="39" applyAlignment="1" applyProtection="1" pivotButton="0" quotePrefix="0" xfId="0">
      <alignment horizontal="left" wrapText="1"/>
      <protection locked="0" hidden="0"/>
    </xf>
    <xf numFmtId="0" fontId="0" fillId="0" borderId="19" applyAlignment="1" applyProtection="1" pivotButton="0" quotePrefix="0" xfId="0">
      <alignment horizontal="center"/>
      <protection locked="0" hidden="0"/>
    </xf>
    <xf numFmtId="0" fontId="0" fillId="0" borderId="1" applyAlignment="1" applyProtection="1" pivotButton="0" quotePrefix="0" xfId="0">
      <alignment horizontal="left" wrapText="1"/>
      <protection locked="0" hidden="0"/>
    </xf>
    <xf numFmtId="164" fontId="4" fillId="0" borderId="74" applyAlignment="1" applyProtection="1" pivotButton="0" quotePrefix="0" xfId="10">
      <alignment horizontal="left"/>
      <protection locked="0" hidden="0"/>
    </xf>
    <xf numFmtId="0" fontId="0" fillId="0" borderId="1" applyAlignment="1" applyProtection="1" pivotButton="0" quotePrefix="0" xfId="0">
      <alignment horizontal="left"/>
      <protection locked="0" hidden="0"/>
    </xf>
    <xf numFmtId="0" fontId="0" fillId="0" borderId="22" applyAlignment="1" applyProtection="1" pivotButton="0" quotePrefix="0" xfId="0">
      <alignment horizontal="center"/>
      <protection locked="0" hidden="0"/>
    </xf>
    <xf numFmtId="0" fontId="0" fillId="0" borderId="39" applyAlignment="1" applyProtection="1" pivotButton="0" quotePrefix="0" xfId="0">
      <alignment horizontal="left"/>
      <protection locked="0" hidden="0"/>
    </xf>
    <xf numFmtId="164" fontId="0" fillId="0" borderId="1" pivotButton="0" quotePrefix="0" xfId="0"/>
    <xf numFmtId="166" fontId="8" fillId="10" borderId="0" pivotButton="0" quotePrefix="0" xfId="0"/>
    <xf numFmtId="0" fontId="17" fillId="16" borderId="5" applyAlignment="1" pivotButton="0" quotePrefix="0" xfId="17">
      <alignment horizontal="left"/>
    </xf>
    <xf numFmtId="0" fontId="0" fillId="0" borderId="46" applyAlignment="1" pivotButton="0" quotePrefix="0" xfId="0">
      <alignment horizontal="left" vertical="center"/>
    </xf>
    <xf numFmtId="0" fontId="17" fillId="16" borderId="7" applyAlignment="1" pivotButton="0" quotePrefix="0" xfId="17">
      <alignment horizontal="left"/>
    </xf>
    <xf numFmtId="0" fontId="0" fillId="0" borderId="19" applyAlignment="1" pivotButton="0" quotePrefix="0" xfId="0">
      <alignment horizontal="left"/>
    </xf>
    <xf numFmtId="0" fontId="17" fillId="16" borderId="9" applyAlignment="1" pivotButton="0" quotePrefix="0" xfId="17">
      <alignment horizontal="left"/>
    </xf>
    <xf numFmtId="0" fontId="0" fillId="0" borderId="54" applyAlignment="1" pivotButton="0" quotePrefix="0" xfId="0">
      <alignment horizontal="left"/>
    </xf>
    <xf numFmtId="0" fontId="18" fillId="17" borderId="5" applyAlignment="1" pivotButton="0" quotePrefix="0" xfId="18">
      <alignment horizontal="left"/>
    </xf>
    <xf numFmtId="0" fontId="18" fillId="17" borderId="52" applyAlignment="1" pivotButton="0" quotePrefix="0" xfId="18">
      <alignment horizontal="left"/>
    </xf>
    <xf numFmtId="0" fontId="18" fillId="17" borderId="66" applyAlignment="1" pivotButton="0" quotePrefix="0" xfId="18">
      <alignment horizontal="left"/>
    </xf>
    <xf numFmtId="0" fontId="4" fillId="18" borderId="19" applyAlignment="1" pivotButton="0" quotePrefix="0" xfId="0">
      <alignment horizontal="left"/>
    </xf>
    <xf numFmtId="0" fontId="4" fillId="0" borderId="19" applyAlignment="1" pivotButton="0" quotePrefix="0" xfId="0">
      <alignment horizontal="left"/>
    </xf>
    <xf numFmtId="0" fontId="4" fillId="0" borderId="76" applyAlignment="1" pivotButton="0" quotePrefix="0" xfId="0">
      <alignment horizontal="left"/>
    </xf>
    <xf numFmtId="0" fontId="0" fillId="0" borderId="0" applyAlignment="1" pivotButton="0" quotePrefix="0" xfId="0">
      <alignment horizontal="center"/>
    </xf>
    <xf numFmtId="0" fontId="6" fillId="6" borderId="5" pivotButton="0" quotePrefix="0" xfId="0"/>
    <xf numFmtId="0" fontId="6" fillId="6" borderId="7" pivotButton="0" quotePrefix="0" xfId="0"/>
    <xf numFmtId="0" fontId="6" fillId="6" borderId="9" pivotButton="0" quotePrefix="0" xfId="0"/>
    <xf numFmtId="0" fontId="7" fillId="3" borderId="29" applyProtection="1" pivotButton="0" quotePrefix="0" xfId="0">
      <protection locked="0" hidden="0"/>
    </xf>
    <xf numFmtId="0" fontId="7" fillId="3" borderId="30" applyProtection="1" pivotButton="0" quotePrefix="0" xfId="0">
      <protection locked="0" hidden="0"/>
    </xf>
    <xf numFmtId="0" fontId="6" fillId="5" borderId="5" applyAlignment="1" pivotButton="0" quotePrefix="0" xfId="0">
      <alignment horizontal="center" vertical="center"/>
    </xf>
    <xf numFmtId="0" fontId="6" fillId="5" borderId="6" applyAlignment="1" pivotButton="0" quotePrefix="0" xfId="0">
      <alignment horizontal="center" vertical="center"/>
    </xf>
    <xf numFmtId="0" fontId="7" fillId="3" borderId="8" applyProtection="1" pivotButton="0" quotePrefix="0" xfId="0">
      <protection locked="0" hidden="0"/>
    </xf>
    <xf numFmtId="0" fontId="7" fillId="3" borderId="10" applyProtection="1" pivotButton="0" quotePrefix="0" xfId="0">
      <protection locked="0" hidden="0"/>
    </xf>
    <xf numFmtId="0" fontId="3" fillId="9" borderId="31" pivotButton="0" quotePrefix="0" xfId="0"/>
    <xf numFmtId="0" fontId="3" fillId="11" borderId="52" applyAlignment="1" pivotButton="0" quotePrefix="0" xfId="0">
      <alignment horizontal="left" vertical="center" wrapText="1"/>
    </xf>
    <xf numFmtId="0" fontId="0" fillId="12" borderId="4" applyAlignment="1" pivotButton="0" quotePrefix="0" xfId="0">
      <alignment horizontal="center" vertical="center" wrapText="1"/>
    </xf>
    <xf numFmtId="0" fontId="3" fillId="11" borderId="4" applyAlignment="1" pivotButton="0" quotePrefix="0" xfId="0">
      <alignment horizontal="left" vertical="center" wrapText="1"/>
    </xf>
    <xf numFmtId="0" fontId="0" fillId="12" borderId="25" applyAlignment="1" pivotButton="0" quotePrefix="0" xfId="0">
      <alignment horizontal="center" vertical="center" wrapText="1"/>
    </xf>
    <xf numFmtId="0" fontId="3" fillId="11" borderId="7" applyAlignment="1" pivotButton="0" quotePrefix="0" xfId="0">
      <alignment vertical="center" wrapText="1"/>
    </xf>
    <xf numFmtId="0" fontId="0" fillId="12" borderId="1" applyAlignment="1" pivotButton="0" quotePrefix="0" xfId="0">
      <alignment horizontal="center" vertical="center" wrapText="1"/>
    </xf>
    <xf numFmtId="0" fontId="3" fillId="11" borderId="1" applyAlignment="1" pivotButton="0" quotePrefix="0" xfId="0">
      <alignment horizontal="left" vertical="center" wrapText="1"/>
    </xf>
    <xf numFmtId="0" fontId="0" fillId="12" borderId="8" applyAlignment="1" pivotButton="0" quotePrefix="0" xfId="0">
      <alignment horizontal="center" vertical="center" wrapText="1"/>
    </xf>
    <xf numFmtId="0" fontId="3" fillId="11" borderId="7" applyAlignment="1" pivotButton="0" quotePrefix="0" xfId="0">
      <alignment horizontal="left" vertical="center" wrapText="1"/>
    </xf>
    <xf numFmtId="0" fontId="3" fillId="12" borderId="8" applyAlignment="1" pivotButton="0" quotePrefix="0" xfId="0">
      <alignment horizontal="center"/>
    </xf>
    <xf numFmtId="0" fontId="3" fillId="12" borderId="10" applyAlignment="1" pivotButton="0" quotePrefix="0" xfId="0">
      <alignment horizontal="center"/>
    </xf>
    <xf numFmtId="0" fontId="3" fillId="10" borderId="0" pivotButton="0" quotePrefix="0" xfId="0"/>
    <xf numFmtId="0" fontId="1" fillId="14" borderId="43" applyAlignment="1" pivotButton="0" quotePrefix="0" xfId="1">
      <alignment horizontal="center" vertical="center" wrapText="1"/>
    </xf>
    <xf numFmtId="0" fontId="1" fillId="14" borderId="44" applyAlignment="1" pivotButton="0" quotePrefix="0" xfId="1">
      <alignment horizontal="center" vertical="center" wrapText="1"/>
    </xf>
    <xf numFmtId="1" fontId="1" fillId="14" borderId="44" applyAlignment="1" pivotButton="0" quotePrefix="0" xfId="1">
      <alignment horizontal="center" vertical="center" wrapText="1"/>
    </xf>
    <xf numFmtId="0" fontId="1" fillId="14" borderId="45" applyAlignment="1" pivotButton="0" quotePrefix="0" xfId="1">
      <alignment horizontal="center" vertical="center" wrapText="1"/>
    </xf>
    <xf numFmtId="0" fontId="0" fillId="3" borderId="0" applyAlignment="1" applyProtection="1" pivotButton="0" quotePrefix="0" xfId="0">
      <alignment horizontal="center"/>
      <protection locked="0" hidden="0"/>
    </xf>
    <xf numFmtId="0" fontId="0" fillId="10" borderId="0" pivotButton="0" quotePrefix="0" xfId="0"/>
    <xf numFmtId="0" fontId="12" fillId="14" borderId="56" applyAlignment="1" pivotButton="0" quotePrefix="0" xfId="0">
      <alignment vertical="center" wrapText="1"/>
    </xf>
    <xf numFmtId="0" fontId="12" fillId="3" borderId="11" applyAlignment="1" pivotButton="0" quotePrefix="0" xfId="0">
      <alignment horizontal="center" vertical="center"/>
    </xf>
    <xf numFmtId="0" fontId="0" fillId="3" borderId="14" pivotButton="0" quotePrefix="0" xfId="0"/>
    <xf numFmtId="0" fontId="5" fillId="0" borderId="1" applyAlignment="1" applyProtection="1" pivotButton="0" quotePrefix="0" xfId="0">
      <alignment horizontal="left" wrapText="1"/>
      <protection locked="0" hidden="0"/>
    </xf>
    <xf numFmtId="0" fontId="34" fillId="14" borderId="48" applyAlignment="1" pivotButton="0" quotePrefix="0" xfId="0">
      <alignment horizontal="center" vertical="center" wrapText="1"/>
    </xf>
    <xf numFmtId="0" fontId="34" fillId="14" borderId="16" applyAlignment="1" pivotButton="0" quotePrefix="0" xfId="0">
      <alignment horizontal="center" vertical="center" wrapText="1"/>
    </xf>
    <xf numFmtId="0" fontId="34" fillId="14" borderId="48" applyAlignment="1" applyProtection="1" pivotButton="0" quotePrefix="0" xfId="0">
      <alignment horizontal="center" vertical="center" wrapText="1"/>
      <protection locked="0" hidden="0"/>
    </xf>
    <xf numFmtId="0" fontId="34" fillId="14" borderId="18" applyAlignment="1" applyProtection="1" pivotButton="0" quotePrefix="0" xfId="0">
      <alignment horizontal="center" vertical="center" wrapText="1"/>
      <protection locked="0" hidden="0"/>
    </xf>
    <xf numFmtId="0" fontId="34" fillId="14" borderId="49" applyAlignment="1" pivotButton="0" quotePrefix="0" xfId="0">
      <alignment horizontal="center" vertical="center" wrapText="1"/>
    </xf>
    <xf numFmtId="0" fontId="34" fillId="14" borderId="4" applyAlignment="1" applyProtection="1" pivotButton="0" quotePrefix="0" xfId="0">
      <alignment horizontal="center" vertical="center" wrapText="1"/>
      <protection locked="0" hidden="0"/>
    </xf>
    <xf numFmtId="0" fontId="34" fillId="14" borderId="36" applyAlignment="1" applyProtection="1" pivotButton="0" quotePrefix="0" xfId="0">
      <alignment horizontal="center" vertical="center" wrapText="1"/>
      <protection locked="0" hidden="0"/>
    </xf>
    <xf numFmtId="167" fontId="0" fillId="13" borderId="64" applyAlignment="1" pivotButton="0" quotePrefix="0" xfId="0">
      <alignment horizontal="center"/>
    </xf>
    <xf numFmtId="167" fontId="0" fillId="13" borderId="64" applyAlignment="1" pivotButton="0" quotePrefix="0" xfId="10">
      <alignment horizontal="center"/>
    </xf>
    <xf numFmtId="164" fontId="11" fillId="13" borderId="6" applyAlignment="1" pivotButton="0" quotePrefix="0" xfId="10">
      <alignment horizontal="center"/>
    </xf>
    <xf numFmtId="167" fontId="0" fillId="13" borderId="3" applyAlignment="1" pivotButton="0" quotePrefix="0" xfId="0">
      <alignment horizontal="center"/>
    </xf>
    <xf numFmtId="167" fontId="0" fillId="13" borderId="3" applyAlignment="1" pivotButton="0" quotePrefix="0" xfId="10">
      <alignment horizontal="center"/>
    </xf>
    <xf numFmtId="164" fontId="11" fillId="13" borderId="8" applyAlignment="1" pivotButton="0" quotePrefix="0" xfId="10">
      <alignment horizontal="center"/>
    </xf>
    <xf numFmtId="167" fontId="0" fillId="13" borderId="33" applyAlignment="1" pivotButton="0" quotePrefix="0" xfId="0">
      <alignment horizontal="center"/>
    </xf>
    <xf numFmtId="167" fontId="0" fillId="13" borderId="33" applyAlignment="1" pivotButton="0" quotePrefix="0" xfId="10">
      <alignment horizontal="center"/>
    </xf>
    <xf numFmtId="164" fontId="11" fillId="13" borderId="75" applyAlignment="1" pivotButton="0" quotePrefix="0" xfId="10">
      <alignment horizontal="center"/>
    </xf>
    <xf numFmtId="0" fontId="5" fillId="0" borderId="23" applyAlignment="1" pivotButton="0" quotePrefix="0" xfId="0">
      <alignment horizontal="left" wrapText="1"/>
    </xf>
    <xf numFmtId="0" fontId="5" fillId="0" borderId="1" applyAlignment="1" pivotButton="0" quotePrefix="0" xfId="0">
      <alignment horizontal="left" wrapText="1"/>
    </xf>
    <xf numFmtId="0" fontId="34" fillId="14" borderId="0" applyAlignment="1" pivotButton="0" quotePrefix="0" xfId="0">
      <alignment horizontal="center"/>
    </xf>
    <xf numFmtId="0" fontId="1" fillId="14" borderId="0" applyAlignment="1" pivotButton="0" quotePrefix="0" xfId="1">
      <alignment horizontal="center" vertical="center" wrapText="1"/>
    </xf>
    <xf numFmtId="0" fontId="40" fillId="14" borderId="0" applyAlignment="1" pivotButton="0" quotePrefix="0" xfId="0">
      <alignment horizontal="center"/>
    </xf>
    <xf numFmtId="0" fontId="1" fillId="14" borderId="27" applyAlignment="1" pivotButton="0" quotePrefix="0" xfId="1">
      <alignment horizontal="center" vertical="center" wrapText="1"/>
    </xf>
    <xf numFmtId="0" fontId="1" fillId="14" borderId="65" applyAlignment="1" pivotButton="0" quotePrefix="0" xfId="1">
      <alignment horizontal="center" vertical="center" wrapText="1"/>
    </xf>
    <xf numFmtId="0" fontId="37" fillId="14" borderId="49" applyAlignment="1" applyProtection="1" pivotButton="0" quotePrefix="0" xfId="1">
      <alignment horizontal="center" vertical="center" wrapText="1"/>
      <protection locked="0" hidden="0"/>
    </xf>
    <xf numFmtId="0" fontId="37" fillId="14" borderId="4" applyAlignment="1" applyProtection="1" pivotButton="0" quotePrefix="0" xfId="1">
      <alignment horizontal="center" vertical="center" wrapText="1"/>
      <protection locked="0" hidden="0"/>
    </xf>
    <xf numFmtId="0" fontId="37" fillId="14" borderId="36" applyAlignment="1" pivotButton="0" quotePrefix="0" xfId="1">
      <alignment horizontal="center" vertical="center" wrapText="1"/>
    </xf>
    <xf numFmtId="0" fontId="0" fillId="3" borderId="0" applyAlignment="1" applyProtection="1" pivotButton="0" quotePrefix="0" xfId="0">
      <alignment horizontal="center" vertical="center"/>
      <protection locked="0" hidden="0"/>
    </xf>
    <xf numFmtId="164" fontId="0" fillId="3" borderId="0" applyAlignment="1" applyProtection="1" pivotButton="0" quotePrefix="0" xfId="0">
      <alignment horizontal="center"/>
      <protection locked="0" hidden="0"/>
    </xf>
    <xf numFmtId="164" fontId="0" fillId="3" borderId="0" applyProtection="1" pivotButton="0" quotePrefix="0" xfId="0">
      <protection locked="0" hidden="0"/>
    </xf>
    <xf numFmtId="164" fontId="11" fillId="13" borderId="3" applyAlignment="1" pivotButton="0" quotePrefix="0" xfId="10">
      <alignment horizontal="center"/>
    </xf>
    <xf numFmtId="164" fontId="11" fillId="13" borderId="3" applyAlignment="1" applyProtection="1" pivotButton="0" quotePrefix="0" xfId="10">
      <alignment horizontal="center"/>
      <protection locked="0" hidden="0"/>
    </xf>
    <xf numFmtId="0" fontId="35" fillId="14" borderId="21" applyAlignment="1" pivotButton="0" quotePrefix="0" xfId="0">
      <alignment horizontal="center" vertical="center"/>
    </xf>
    <xf numFmtId="0" fontId="35" fillId="14" borderId="22" applyAlignment="1" pivotButton="0" quotePrefix="0" xfId="0">
      <alignment horizontal="center" vertical="center"/>
    </xf>
    <xf numFmtId="0" fontId="35" fillId="14" borderId="17" applyAlignment="1" pivotButton="0" quotePrefix="0" xfId="0">
      <alignment horizontal="center" vertical="center"/>
    </xf>
    <xf numFmtId="0" fontId="35" fillId="14" borderId="49" applyAlignment="1" pivotButton="0" quotePrefix="0" xfId="0">
      <alignment horizontal="center" vertical="center"/>
    </xf>
    <xf numFmtId="0" fontId="41" fillId="0" borderId="0" pivotButton="0" quotePrefix="0" xfId="0"/>
    <xf numFmtId="0" fontId="24" fillId="20" borderId="0" pivotButton="0" quotePrefix="0" xfId="0"/>
    <xf numFmtId="0" fontId="42" fillId="14" borderId="49" applyAlignment="1" pivotButton="0" quotePrefix="0" xfId="1">
      <alignment horizontal="center" vertical="center" wrapText="1"/>
    </xf>
    <xf numFmtId="0" fontId="42" fillId="14" borderId="4" applyAlignment="1" pivotButton="0" quotePrefix="0" xfId="1">
      <alignment horizontal="center" vertical="center" wrapText="1"/>
    </xf>
    <xf numFmtId="0" fontId="23" fillId="0" borderId="0" applyAlignment="1" applyProtection="1" pivotButton="0" quotePrefix="0" xfId="0">
      <alignment horizontal="center" vertical="center"/>
      <protection locked="0" hidden="0"/>
    </xf>
    <xf numFmtId="0" fontId="31" fillId="3" borderId="46" applyAlignment="1" pivotButton="0" quotePrefix="0" xfId="19">
      <alignment vertical="center"/>
    </xf>
    <xf numFmtId="0" fontId="23" fillId="0" borderId="16" applyAlignment="1" applyProtection="1" pivotButton="0" quotePrefix="0" xfId="0">
      <alignment horizontal="center" vertical="center"/>
      <protection locked="0" hidden="0"/>
    </xf>
    <xf numFmtId="168" fontId="23" fillId="0" borderId="16" applyAlignment="1" applyProtection="1" pivotButton="0" quotePrefix="0" xfId="0">
      <alignment horizontal="center" vertical="center"/>
      <protection locked="0" hidden="0"/>
    </xf>
    <xf numFmtId="0" fontId="25" fillId="0" borderId="16" applyAlignment="1" pivotButton="0" quotePrefix="0" xfId="20">
      <alignment horizontal="center"/>
    </xf>
    <xf numFmtId="0" fontId="25" fillId="0" borderId="85" applyAlignment="1" pivotButton="0" quotePrefix="0" xfId="20">
      <alignment horizontal="center"/>
    </xf>
    <xf numFmtId="0" fontId="43" fillId="14" borderId="0" applyAlignment="1" pivotButton="0" quotePrefix="0" xfId="0">
      <alignment horizontal="center" vertical="center"/>
    </xf>
    <xf numFmtId="0" fontId="42" fillId="14" borderId="0" applyAlignment="1" pivotButton="0" quotePrefix="0" xfId="0">
      <alignment horizontal="center" vertical="center"/>
    </xf>
    <xf numFmtId="0" fontId="42" fillId="14" borderId="18" applyAlignment="1" pivotButton="0" quotePrefix="0" xfId="0">
      <alignment horizontal="center" vertical="center"/>
    </xf>
    <xf numFmtId="0" fontId="0" fillId="3" borderId="87" applyAlignment="1" pivotButton="0" quotePrefix="0" xfId="0">
      <alignment horizontal="center" vertical="center"/>
    </xf>
    <xf numFmtId="0" fontId="0" fillId="3" borderId="88" applyAlignment="1" pivotButton="0" quotePrefix="0" xfId="0">
      <alignment horizontal="center" vertical="center"/>
    </xf>
    <xf numFmtId="0" fontId="0" fillId="3" borderId="89" applyAlignment="1" pivotButton="0" quotePrefix="0" xfId="0">
      <alignment vertical="center" wrapText="1"/>
    </xf>
    <xf numFmtId="0" fontId="0" fillId="3" borderId="0" applyAlignment="1" pivotButton="0" quotePrefix="0" xfId="0">
      <alignment horizontal="center" vertical="center"/>
    </xf>
    <xf numFmtId="0" fontId="0" fillId="3" borderId="18" applyAlignment="1" pivotButton="0" quotePrefix="0" xfId="0">
      <alignment horizontal="center" vertical="center"/>
    </xf>
    <xf numFmtId="0" fontId="0" fillId="3" borderId="73" applyAlignment="1" pivotButton="0" quotePrefix="0" xfId="0">
      <alignment vertical="center" wrapText="1"/>
    </xf>
    <xf numFmtId="0" fontId="0" fillId="12" borderId="87" applyAlignment="1" pivotButton="0" quotePrefix="0" xfId="0">
      <alignment horizontal="center" vertical="center"/>
    </xf>
    <xf numFmtId="0" fontId="0" fillId="12" borderId="88" applyAlignment="1" pivotButton="0" quotePrefix="0" xfId="0">
      <alignment horizontal="center" vertical="center"/>
    </xf>
    <xf numFmtId="0" fontId="0" fillId="12" borderId="89" applyAlignment="1" pivotButton="0" quotePrefix="0" xfId="0">
      <alignment vertical="center" wrapText="1"/>
    </xf>
    <xf numFmtId="0" fontId="0" fillId="12" borderId="0" applyAlignment="1" pivotButton="0" quotePrefix="0" xfId="0">
      <alignment horizontal="center" vertical="center"/>
    </xf>
    <xf numFmtId="0" fontId="0" fillId="12" borderId="18" applyAlignment="1" pivotButton="0" quotePrefix="0" xfId="0">
      <alignment horizontal="center" vertical="center"/>
    </xf>
    <xf numFmtId="0" fontId="0" fillId="12" borderId="73" applyAlignment="1" pivotButton="0" quotePrefix="0" xfId="0">
      <alignment vertical="center" wrapText="1"/>
    </xf>
    <xf numFmtId="0" fontId="0" fillId="3" borderId="89" applyAlignment="1" pivotButton="0" quotePrefix="0" xfId="0">
      <alignment vertical="center"/>
    </xf>
    <xf numFmtId="0" fontId="0" fillId="3" borderId="73" applyAlignment="1" pivotButton="0" quotePrefix="0" xfId="0">
      <alignment vertical="center"/>
    </xf>
    <xf numFmtId="0" fontId="0" fillId="12" borderId="14" applyAlignment="1" pivotButton="0" quotePrefix="0" xfId="0">
      <alignment horizontal="center" vertical="center"/>
    </xf>
    <xf numFmtId="0" fontId="0" fillId="12" borderId="55" applyAlignment="1" pivotButton="0" quotePrefix="0" xfId="0">
      <alignment horizontal="center" vertical="center"/>
    </xf>
    <xf numFmtId="0" fontId="0" fillId="12" borderId="90" applyAlignment="1" pivotButton="0" quotePrefix="0" xfId="0">
      <alignment vertical="center" wrapText="1"/>
    </xf>
    <xf numFmtId="0" fontId="0" fillId="3" borderId="88" applyAlignment="1" pivotButton="0" quotePrefix="0" xfId="0">
      <alignment horizontal="center" vertical="center" wrapText="1"/>
    </xf>
    <xf numFmtId="0" fontId="0" fillId="3" borderId="0" applyAlignment="1" pivotButton="0" quotePrefix="0" xfId="0">
      <alignment horizontal="center" vertical="center" wrapText="1"/>
    </xf>
    <xf numFmtId="0" fontId="0" fillId="3" borderId="87" applyAlignment="1" pivotButton="0" quotePrefix="0" xfId="0">
      <alignment horizontal="center" vertical="center" wrapText="1"/>
    </xf>
    <xf numFmtId="0" fontId="0" fillId="12" borderId="88" applyAlignment="1" pivotButton="0" quotePrefix="0" xfId="0">
      <alignment horizontal="center" vertical="center" wrapText="1"/>
    </xf>
    <xf numFmtId="0" fontId="0" fillId="12" borderId="89" applyAlignment="1" pivotButton="0" quotePrefix="0" xfId="0">
      <alignment vertical="center"/>
    </xf>
    <xf numFmtId="0" fontId="0" fillId="12" borderId="0" applyAlignment="1" pivotButton="0" quotePrefix="0" xfId="0">
      <alignment horizontal="center" vertical="center" wrapText="1"/>
    </xf>
    <xf numFmtId="0" fontId="0" fillId="12" borderId="18" applyAlignment="1" pivotButton="0" quotePrefix="0" xfId="0">
      <alignment horizontal="center" vertical="center" wrapText="1"/>
    </xf>
    <xf numFmtId="0" fontId="0" fillId="12" borderId="73" applyAlignment="1" pivotButton="0" quotePrefix="0" xfId="0">
      <alignment vertical="center"/>
    </xf>
    <xf numFmtId="0" fontId="0" fillId="3" borderId="14" applyAlignment="1" pivotButton="0" quotePrefix="0" xfId="0">
      <alignment horizontal="center" vertical="center" wrapText="1"/>
    </xf>
    <xf numFmtId="0" fontId="0" fillId="3" borderId="55" applyAlignment="1" pivotButton="0" quotePrefix="0" xfId="0">
      <alignment horizontal="center" vertical="center"/>
    </xf>
    <xf numFmtId="0" fontId="0" fillId="3" borderId="14" applyAlignment="1" pivotButton="0" quotePrefix="0" xfId="0">
      <alignment horizontal="center" vertical="center"/>
    </xf>
    <xf numFmtId="0" fontId="0" fillId="3" borderId="90" applyAlignment="1" pivotButton="0" quotePrefix="0" xfId="0">
      <alignment vertical="center"/>
    </xf>
    <xf numFmtId="0" fontId="12" fillId="3" borderId="11" applyAlignment="1" pivotButton="0" quotePrefix="0" xfId="0">
      <alignment vertical="center"/>
    </xf>
    <xf numFmtId="0" fontId="12" fillId="3" borderId="0" applyAlignment="1" pivotButton="0" quotePrefix="0" xfId="0">
      <alignment vertical="center"/>
    </xf>
    <xf numFmtId="0" fontId="12" fillId="3" borderId="14" applyAlignment="1" pivotButton="0" quotePrefix="0" xfId="0">
      <alignment vertical="center"/>
    </xf>
    <xf numFmtId="0" fontId="24" fillId="0" borderId="0" applyAlignment="1" pivotButton="0" quotePrefix="0" xfId="0">
      <alignment horizontal="center" vertical="center"/>
    </xf>
    <xf numFmtId="0" fontId="24" fillId="0" borderId="0" applyAlignment="1" pivotButton="0" quotePrefix="0" xfId="0">
      <alignment horizontal="left" vertical="center" wrapText="1" readingOrder="1"/>
    </xf>
    <xf numFmtId="0" fontId="48" fillId="0" borderId="0" applyAlignment="1" pivotButton="0" quotePrefix="0" xfId="0">
      <alignment horizontal="center" vertical="center" wrapText="1"/>
    </xf>
    <xf numFmtId="0" fontId="48" fillId="0" borderId="0" applyAlignment="1" pivotButton="0" quotePrefix="0" xfId="0">
      <alignment horizontal="center" vertical="center"/>
    </xf>
    <xf numFmtId="0" fontId="52" fillId="0" borderId="0" applyAlignment="1" pivotButton="0" quotePrefix="0" xfId="0">
      <alignment vertical="center"/>
    </xf>
    <xf numFmtId="0" fontId="0" fillId="0" borderId="21" pivotButton="0" quotePrefix="0" xfId="0"/>
    <xf numFmtId="0" fontId="0" fillId="0" borderId="17" pivotButton="0" quotePrefix="0" xfId="0"/>
    <xf numFmtId="0" fontId="23" fillId="0" borderId="21" applyAlignment="1" applyProtection="1" pivotButton="0" quotePrefix="0" xfId="0">
      <alignment horizontal="center" vertical="center"/>
      <protection locked="0" hidden="0"/>
    </xf>
    <xf numFmtId="0" fontId="23" fillId="0" borderId="17" applyAlignment="1" applyProtection="1" pivotButton="0" quotePrefix="0" xfId="0">
      <alignment horizontal="center" vertical="center"/>
      <protection locked="0" hidden="0"/>
    </xf>
    <xf numFmtId="0" fontId="23" fillId="0" borderId="49" applyAlignment="1" applyProtection="1" pivotButton="0" quotePrefix="0" xfId="0">
      <alignment horizontal="center" vertical="center"/>
      <protection locked="0" hidden="0"/>
    </xf>
    <xf numFmtId="0" fontId="23" fillId="0" borderId="22" applyAlignment="1" applyProtection="1" pivotButton="0" quotePrefix="0" xfId="0">
      <alignment horizontal="center" vertical="center"/>
      <protection locked="0" hidden="0"/>
    </xf>
    <xf numFmtId="0" fontId="25" fillId="0" borderId="21" applyAlignment="1" pivotButton="0" quotePrefix="0" xfId="20">
      <alignment horizontal="center"/>
    </xf>
    <xf numFmtId="0" fontId="25" fillId="0" borderId="22" applyAlignment="1" pivotButton="0" quotePrefix="0" xfId="20">
      <alignment horizontal="center"/>
    </xf>
    <xf numFmtId="0" fontId="25" fillId="0" borderId="17" applyAlignment="1" pivotButton="0" quotePrefix="0" xfId="20">
      <alignment horizontal="center"/>
    </xf>
    <xf numFmtId="0" fontId="25" fillId="0" borderId="49" applyAlignment="1" pivotButton="0" quotePrefix="0" xfId="20">
      <alignment horizontal="center"/>
    </xf>
    <xf numFmtId="0" fontId="25" fillId="0" borderId="35" applyAlignment="1" pivotButton="0" quotePrefix="0" xfId="20">
      <alignment horizontal="center"/>
    </xf>
    <xf numFmtId="0" fontId="25" fillId="0" borderId="79" applyAlignment="1" pivotButton="0" quotePrefix="0" xfId="20">
      <alignment horizontal="center"/>
    </xf>
    <xf numFmtId="0" fontId="12" fillId="10" borderId="0" pivotButton="0" quotePrefix="0" xfId="0"/>
    <xf numFmtId="169" fontId="0" fillId="10" borderId="0" applyAlignment="1" pivotButton="0" quotePrefix="0" xfId="0">
      <alignment horizontal="right"/>
    </xf>
    <xf numFmtId="0" fontId="0" fillId="10" borderId="0" applyAlignment="1" pivotButton="0" quotePrefix="0" xfId="0">
      <alignment horizontal="center"/>
    </xf>
    <xf numFmtId="0" fontId="24" fillId="0" borderId="14" applyAlignment="1" pivotButton="0" quotePrefix="0" xfId="0">
      <alignment horizontal="center"/>
    </xf>
    <xf numFmtId="0" fontId="36" fillId="14" borderId="78" applyAlignment="1" pivotButton="0" quotePrefix="0" xfId="0">
      <alignment horizontal="center" vertical="center" wrapText="1"/>
    </xf>
    <xf numFmtId="0" fontId="24" fillId="0" borderId="21" applyAlignment="1" pivotButton="0" quotePrefix="0" xfId="0">
      <alignment horizontal="center"/>
    </xf>
    <xf numFmtId="0" fontId="24" fillId="0" borderId="0" applyAlignment="1" pivotButton="0" quotePrefix="0" xfId="0">
      <alignment horizontal="center"/>
    </xf>
    <xf numFmtId="0" fontId="29" fillId="3" borderId="0" applyAlignment="1" applyProtection="1" pivotButton="0" quotePrefix="0" xfId="20">
      <alignment horizontal="center"/>
      <protection locked="0" hidden="0"/>
    </xf>
    <xf numFmtId="0" fontId="29" fillId="3" borderId="14" applyAlignment="1" applyProtection="1" pivotButton="0" quotePrefix="0" xfId="20">
      <alignment horizontal="center"/>
      <protection locked="0" hidden="0"/>
    </xf>
    <xf numFmtId="0" fontId="28" fillId="3" borderId="21" applyAlignment="1" applyProtection="1" pivotButton="0" quotePrefix="0" xfId="22">
      <alignment horizontal="center" wrapText="1"/>
      <protection locked="0" hidden="0"/>
    </xf>
    <xf numFmtId="0" fontId="28" fillId="3" borderId="0" applyAlignment="1" applyProtection="1" pivotButton="0" quotePrefix="0" xfId="22">
      <alignment horizontal="center" vertical="center" wrapText="1"/>
      <protection locked="0" hidden="0"/>
    </xf>
    <xf numFmtId="0" fontId="28" fillId="3" borderId="0" applyAlignment="1" applyProtection="1" pivotButton="0" quotePrefix="0" xfId="22">
      <alignment horizontal="center" wrapText="1"/>
      <protection locked="0" hidden="0"/>
    </xf>
    <xf numFmtId="0" fontId="28" fillId="3" borderId="17" applyAlignment="1" applyProtection="1" pivotButton="0" quotePrefix="0" xfId="22">
      <alignment horizontal="center" wrapText="1"/>
      <protection locked="0" hidden="0"/>
    </xf>
    <xf numFmtId="0" fontId="29" fillId="3" borderId="21" applyAlignment="1" applyProtection="1" pivotButton="0" quotePrefix="0" xfId="20">
      <alignment horizontal="center" vertical="center"/>
      <protection locked="0" hidden="0"/>
    </xf>
    <xf numFmtId="0" fontId="29" fillId="3" borderId="0" applyAlignment="1" applyProtection="1" pivotButton="0" quotePrefix="0" xfId="20">
      <alignment horizontal="center" vertical="center"/>
      <protection locked="0" hidden="0"/>
    </xf>
    <xf numFmtId="0" fontId="29" fillId="3" borderId="17" applyAlignment="1" applyProtection="1" pivotButton="0" quotePrefix="0" xfId="20">
      <alignment horizontal="center" vertical="center"/>
      <protection locked="0" hidden="0"/>
    </xf>
    <xf numFmtId="0" fontId="28" fillId="3" borderId="21" applyAlignment="1" applyProtection="1" pivotButton="0" quotePrefix="0" xfId="22">
      <alignment horizontal="center" vertical="center" wrapText="1"/>
      <protection locked="0" hidden="0"/>
    </xf>
    <xf numFmtId="0" fontId="0" fillId="0" borderId="17" applyAlignment="1" pivotButton="0" quotePrefix="0" xfId="0">
      <alignment horizontal="center"/>
    </xf>
    <xf numFmtId="0" fontId="0" fillId="3" borderId="21" applyAlignment="1" pivotButton="0" quotePrefix="0" xfId="0">
      <alignment horizontal="center"/>
    </xf>
    <xf numFmtId="0" fontId="0" fillId="3" borderId="0" applyAlignment="1" pivotButton="0" quotePrefix="0" xfId="0">
      <alignment horizontal="center"/>
    </xf>
    <xf numFmtId="0" fontId="0" fillId="3" borderId="14" applyAlignment="1" pivotButton="0" quotePrefix="0" xfId="0">
      <alignment horizontal="center"/>
    </xf>
    <xf numFmtId="0" fontId="53" fillId="0" borderId="20" applyAlignment="1" pivotButton="0" quotePrefix="0" xfId="5">
      <alignment vertical="center" wrapText="1"/>
    </xf>
    <xf numFmtId="0" fontId="53" fillId="0" borderId="78" applyAlignment="1" pivotButton="0" quotePrefix="0" xfId="5">
      <alignment horizontal="left" vertical="center" wrapText="1"/>
    </xf>
    <xf numFmtId="0" fontId="53" fillId="0" borderId="20" applyAlignment="1" pivotButton="0" quotePrefix="0" xfId="5">
      <alignment horizontal="left" vertical="center" wrapText="1"/>
    </xf>
    <xf numFmtId="0" fontId="53" fillId="0" borderId="21" applyAlignment="1" pivotButton="0" quotePrefix="0" xfId="5">
      <alignment horizontal="left" vertical="center" wrapText="1"/>
    </xf>
    <xf numFmtId="0" fontId="53" fillId="0" borderId="86" applyAlignment="1" pivotButton="0" quotePrefix="0" xfId="5">
      <alignment horizontal="left" vertical="center" wrapText="1"/>
    </xf>
    <xf numFmtId="168" fontId="45" fillId="0" borderId="20" applyAlignment="1" pivotButton="0" quotePrefix="0" xfId="0">
      <alignment horizontal="center" vertical="center"/>
    </xf>
    <xf numFmtId="168" fontId="45" fillId="0" borderId="21" applyAlignment="1" pivotButton="0" quotePrefix="0" xfId="0">
      <alignment horizontal="center" vertical="center"/>
    </xf>
    <xf numFmtId="0" fontId="53" fillId="0" borderId="46" applyAlignment="1" pivotButton="0" quotePrefix="0" xfId="5">
      <alignment vertical="center" wrapText="1"/>
    </xf>
    <xf numFmtId="168" fontId="45" fillId="0" borderId="11" applyAlignment="1" pivotButton="0" quotePrefix="0" xfId="0">
      <alignment horizontal="center" vertical="center"/>
    </xf>
    <xf numFmtId="0" fontId="53" fillId="0" borderId="19" applyAlignment="1" pivotButton="0" quotePrefix="0" xfId="5">
      <alignment vertical="center" wrapText="1"/>
    </xf>
    <xf numFmtId="0" fontId="53" fillId="0" borderId="22" applyAlignment="1" pivotButton="0" quotePrefix="0" xfId="5">
      <alignment vertical="center" wrapText="1"/>
    </xf>
    <xf numFmtId="168" fontId="45" fillId="0" borderId="78" applyAlignment="1" pivotButton="0" quotePrefix="0" xfId="0">
      <alignment horizontal="center" vertical="center"/>
    </xf>
    <xf numFmtId="168" fontId="45" fillId="0" borderId="86" applyAlignment="1" pivotButton="0" quotePrefix="0" xfId="0">
      <alignment horizontal="center" vertical="center"/>
    </xf>
    <xf numFmtId="0" fontId="53" fillId="0" borderId="54" applyAlignment="1" pivotButton="0" quotePrefix="0" xfId="5">
      <alignment vertical="center" wrapText="1"/>
    </xf>
    <xf numFmtId="168" fontId="45" fillId="0" borderId="14" applyAlignment="1" pivotButton="0" quotePrefix="0" xfId="0">
      <alignment horizontal="center" vertical="center"/>
    </xf>
    <xf numFmtId="0" fontId="54" fillId="0" borderId="0" pivotButton="0" quotePrefix="0" xfId="0"/>
    <xf numFmtId="1" fontId="54" fillId="3" borderId="71" applyAlignment="1" pivotButton="0" quotePrefix="0" xfId="0">
      <alignment horizontal="center" vertical="center"/>
    </xf>
    <xf numFmtId="0" fontId="54" fillId="0" borderId="21" pivotButton="0" quotePrefix="0" xfId="0"/>
    <xf numFmtId="1" fontId="54" fillId="3" borderId="51" applyAlignment="1" pivotButton="0" quotePrefix="0" xfId="0">
      <alignment horizontal="center" vertical="center"/>
    </xf>
    <xf numFmtId="0" fontId="54" fillId="0" borderId="17" pivotButton="0" quotePrefix="0" xfId="0"/>
    <xf numFmtId="1" fontId="54" fillId="3" borderId="58" applyAlignment="1" pivotButton="0" quotePrefix="0" xfId="0">
      <alignment horizontal="center" vertical="center"/>
    </xf>
    <xf numFmtId="0" fontId="28" fillId="3" borderId="11" applyAlignment="1" applyProtection="1" pivotButton="0" quotePrefix="0" xfId="22">
      <alignment horizontal="center" wrapText="1"/>
      <protection locked="0" hidden="0"/>
    </xf>
    <xf numFmtId="0" fontId="29" fillId="3" borderId="12" applyAlignment="1" applyProtection="1" pivotButton="0" quotePrefix="0" xfId="20">
      <alignment horizontal="center" vertical="center"/>
      <protection locked="0" hidden="0"/>
    </xf>
    <xf numFmtId="0" fontId="29" fillId="3" borderId="13" applyAlignment="1" applyProtection="1" pivotButton="0" quotePrefix="0" xfId="20">
      <alignment horizontal="center" vertical="center"/>
      <protection locked="0" hidden="0"/>
    </xf>
    <xf numFmtId="0" fontId="29" fillId="3" borderId="79" applyAlignment="1" applyProtection="1" pivotButton="0" quotePrefix="0" xfId="20">
      <alignment horizontal="center" vertical="center"/>
      <protection locked="0" hidden="0"/>
    </xf>
    <xf numFmtId="0" fontId="29" fillId="3" borderId="35" applyAlignment="1" applyProtection="1" pivotButton="0" quotePrefix="0" xfId="20">
      <alignment horizontal="center" vertical="center"/>
      <protection locked="0" hidden="0"/>
    </xf>
    <xf numFmtId="0" fontId="29" fillId="3" borderId="15" applyAlignment="1" applyProtection="1" pivotButton="0" quotePrefix="0" xfId="20">
      <alignment horizontal="center" vertical="center"/>
      <protection locked="0" hidden="0"/>
    </xf>
    <xf numFmtId="0" fontId="29" fillId="3" borderId="13" applyAlignment="1" applyProtection="1" pivotButton="0" quotePrefix="0" xfId="20">
      <alignment horizontal="center"/>
      <protection locked="0" hidden="0"/>
    </xf>
    <xf numFmtId="0" fontId="29" fillId="3" borderId="15" applyAlignment="1" applyProtection="1" pivotButton="0" quotePrefix="0" xfId="20">
      <alignment horizontal="center"/>
      <protection locked="0" hidden="0"/>
    </xf>
    <xf numFmtId="1" fontId="23" fillId="0" borderId="21" applyAlignment="1" applyProtection="1" pivotButton="0" quotePrefix="0" xfId="0">
      <alignment horizontal="center" vertical="center"/>
      <protection locked="0" hidden="0"/>
    </xf>
    <xf numFmtId="1" fontId="54" fillId="3" borderId="0" applyAlignment="1" pivotButton="0" quotePrefix="0" xfId="0">
      <alignment horizontal="center" vertical="center"/>
    </xf>
    <xf numFmtId="168" fontId="45" fillId="0" borderId="0" applyAlignment="1" pivotButton="0" quotePrefix="0" xfId="0">
      <alignment horizontal="center" vertical="center"/>
    </xf>
    <xf numFmtId="168" fontId="23" fillId="0" borderId="0" applyAlignment="1" applyProtection="1" pivotButton="0" quotePrefix="0" xfId="0">
      <alignment horizontal="center" vertical="center"/>
      <protection locked="0" hidden="0"/>
    </xf>
    <xf numFmtId="0" fontId="24" fillId="3" borderId="0" applyAlignment="1" pivotButton="0" quotePrefix="0" xfId="0">
      <alignment horizontal="center"/>
    </xf>
    <xf numFmtId="0" fontId="29" fillId="3" borderId="11" applyAlignment="1" applyProtection="1" pivotButton="0" quotePrefix="0" xfId="20">
      <alignment horizontal="center" vertical="center"/>
      <protection locked="0" hidden="0"/>
    </xf>
    <xf numFmtId="0" fontId="29" fillId="3" borderId="14" applyAlignment="1" applyProtection="1" pivotButton="0" quotePrefix="0" xfId="20">
      <alignment horizontal="center" vertical="center"/>
      <protection locked="0" hidden="0"/>
    </xf>
    <xf numFmtId="0" fontId="59" fillId="19" borderId="19" applyAlignment="1" pivotButton="0" quotePrefix="0" xfId="0">
      <alignment horizontal="left" vertical="center" wrapText="1"/>
    </xf>
    <xf numFmtId="0" fontId="59" fillId="19" borderId="16" applyAlignment="1" pivotButton="0" quotePrefix="0" xfId="0">
      <alignment horizontal="left" vertical="center" wrapText="1"/>
    </xf>
    <xf numFmtId="0" fontId="44" fillId="0" borderId="19" applyAlignment="1" pivotButton="0" quotePrefix="0" xfId="0">
      <alignment horizontal="center" vertical="center" wrapText="1"/>
    </xf>
    <xf numFmtId="0" fontId="44" fillId="0" borderId="1" applyAlignment="1" pivotButton="0" quotePrefix="0" xfId="0">
      <alignment vertical="center" wrapText="1"/>
    </xf>
    <xf numFmtId="0" fontId="44" fillId="0" borderId="1" applyAlignment="1" pivotButton="0" quotePrefix="0" xfId="0">
      <alignment horizontal="center" vertical="center" wrapText="1"/>
    </xf>
    <xf numFmtId="0" fontId="0" fillId="3" borderId="0" applyAlignment="1" pivotButton="0" quotePrefix="0" xfId="0">
      <alignment wrapText="1"/>
    </xf>
    <xf numFmtId="0" fontId="51" fillId="3" borderId="0" applyAlignment="1" pivotButton="0" quotePrefix="0" xfId="0">
      <alignment horizontal="center"/>
    </xf>
    <xf numFmtId="0" fontId="12" fillId="0" borderId="1" applyAlignment="1" applyProtection="1" pivotButton="0" quotePrefix="0" xfId="0">
      <alignment horizontal="center" vertical="center" wrapText="1"/>
      <protection locked="0" hidden="0"/>
    </xf>
    <xf numFmtId="0" fontId="29" fillId="3" borderId="51" applyAlignment="1" applyProtection="1" pivotButton="0" quotePrefix="0" xfId="22">
      <alignment horizontal="left" wrapText="1"/>
      <protection locked="0" hidden="0"/>
    </xf>
    <xf numFmtId="0" fontId="29" fillId="3" borderId="0" applyAlignment="1" applyProtection="1" pivotButton="0" quotePrefix="0" xfId="22">
      <alignment horizontal="left" wrapText="1"/>
      <protection locked="0" hidden="0"/>
    </xf>
    <xf numFmtId="0" fontId="30" fillId="0" borderId="3" applyAlignment="1" pivotButton="0" quotePrefix="0" xfId="19">
      <alignment horizontal="center" vertical="center"/>
    </xf>
    <xf numFmtId="0" fontId="30" fillId="0" borderId="20" applyAlignment="1" pivotButton="0" quotePrefix="0" xfId="19">
      <alignment horizontal="center" vertical="center"/>
    </xf>
    <xf numFmtId="0" fontId="30" fillId="0" borderId="19" applyAlignment="1" pivotButton="0" quotePrefix="0" xfId="19">
      <alignment horizontal="center" vertical="center"/>
    </xf>
    <xf numFmtId="0" fontId="32" fillId="0" borderId="3" applyAlignment="1" pivotButton="0" quotePrefix="0" xfId="19">
      <alignment horizontal="center" vertical="center"/>
    </xf>
    <xf numFmtId="0" fontId="32" fillId="0" borderId="20" applyAlignment="1" pivotButton="0" quotePrefix="0" xfId="19">
      <alignment horizontal="center" vertical="center"/>
    </xf>
    <xf numFmtId="0" fontId="32" fillId="0" borderId="19" applyAlignment="1" pivotButton="0" quotePrefix="0" xfId="19">
      <alignment horizontal="center" vertical="center"/>
    </xf>
    <xf numFmtId="0" fontId="53" fillId="0" borderId="78" applyAlignment="1" pivotButton="0" quotePrefix="0" xfId="5">
      <alignment horizontal="left" vertical="center" wrapText="1"/>
    </xf>
    <xf numFmtId="0" fontId="53" fillId="0" borderId="20" applyAlignment="1" pivotButton="0" quotePrefix="0" xfId="5">
      <alignment horizontal="left" vertical="center" wrapText="1"/>
    </xf>
    <xf numFmtId="0" fontId="55" fillId="14" borderId="1" applyAlignment="1" pivotButton="0" quotePrefix="0" xfId="0">
      <alignment horizontal="center" vertical="center" textRotation="90" wrapText="1"/>
    </xf>
    <xf numFmtId="0" fontId="55" fillId="14" borderId="39" applyAlignment="1" pivotButton="0" quotePrefix="0" xfId="0">
      <alignment horizontal="center" vertical="center" textRotation="90" wrapText="1"/>
    </xf>
    <xf numFmtId="0" fontId="56" fillId="14" borderId="81" applyAlignment="1" pivotButton="0" quotePrefix="0" xfId="15">
      <alignment horizontal="center" vertical="center" textRotation="90" wrapText="1"/>
    </xf>
    <xf numFmtId="0" fontId="56" fillId="14" borderId="73" applyAlignment="1" pivotButton="0" quotePrefix="0" xfId="15">
      <alignment horizontal="center" vertical="center" textRotation="90" wrapText="1"/>
    </xf>
    <xf numFmtId="0" fontId="36" fillId="14" borderId="64" applyAlignment="1" pivotButton="0" quotePrefix="0" xfId="0">
      <alignment horizontal="center" vertical="center" wrapText="1"/>
    </xf>
    <xf numFmtId="0" fontId="36" fillId="14" borderId="78" applyAlignment="1" pivotButton="0" quotePrefix="0" xfId="0">
      <alignment horizontal="center" vertical="center" wrapText="1"/>
    </xf>
    <xf numFmtId="0" fontId="36" fillId="14" borderId="46" applyAlignment="1" pivotButton="0" quotePrefix="0" xfId="0">
      <alignment horizontal="center" vertical="center" wrapText="1"/>
    </xf>
    <xf numFmtId="0" fontId="24" fillId="0" borderId="33" applyAlignment="1" pivotButton="0" quotePrefix="0" xfId="0">
      <alignment horizontal="center"/>
    </xf>
    <xf numFmtId="0" fontId="24" fillId="0" borderId="21" applyAlignment="1" pivotButton="0" quotePrefix="0" xfId="0">
      <alignment horizontal="center"/>
    </xf>
    <xf numFmtId="0" fontId="24" fillId="0" borderId="22" applyAlignment="1" pivotButton="0" quotePrefix="0" xfId="0">
      <alignment horizontal="center"/>
    </xf>
    <xf numFmtId="0" fontId="24" fillId="0" borderId="18" applyAlignment="1" pivotButton="0" quotePrefix="0" xfId="0">
      <alignment horizontal="center"/>
    </xf>
    <xf numFmtId="0" fontId="24" fillId="0" borderId="0" applyAlignment="1" pivotButton="0" quotePrefix="0" xfId="0">
      <alignment horizontal="center"/>
    </xf>
    <xf numFmtId="0" fontId="24" fillId="0" borderId="16" applyAlignment="1" pivotButton="0" quotePrefix="0" xfId="0">
      <alignment horizontal="center"/>
    </xf>
    <xf numFmtId="168" fontId="24" fillId="3" borderId="18" applyAlignment="1" pivotButton="0" quotePrefix="0" xfId="0">
      <alignment horizontal="center"/>
    </xf>
    <xf numFmtId="168" fontId="24" fillId="3" borderId="0" applyAlignment="1" pivotButton="0" quotePrefix="0" xfId="0">
      <alignment horizontal="center"/>
    </xf>
    <xf numFmtId="168" fontId="24" fillId="3" borderId="16" applyAlignment="1" pivotButton="0" quotePrefix="0" xfId="0">
      <alignment horizontal="center"/>
    </xf>
    <xf numFmtId="168" fontId="24" fillId="3" borderId="55" applyAlignment="1" pivotButton="0" quotePrefix="0" xfId="0">
      <alignment horizontal="center"/>
    </xf>
    <xf numFmtId="168" fontId="24" fillId="3" borderId="14" applyAlignment="1" pivotButton="0" quotePrefix="0" xfId="0">
      <alignment horizontal="center"/>
    </xf>
    <xf numFmtId="168" fontId="24" fillId="3" borderId="85" applyAlignment="1" pivotButton="0" quotePrefix="0" xfId="0">
      <alignment horizontal="center"/>
    </xf>
    <xf numFmtId="0" fontId="3" fillId="10" borderId="0" applyAlignment="1" pivotButton="0" quotePrefix="0" xfId="0">
      <alignment horizontal="center" wrapText="1"/>
    </xf>
    <xf numFmtId="0" fontId="38" fillId="14" borderId="58" applyAlignment="1" pivotButton="0" quotePrefix="0" xfId="0">
      <alignment horizontal="right"/>
    </xf>
    <xf numFmtId="0" fontId="38" fillId="14" borderId="14" applyAlignment="1" pivotButton="0" quotePrefix="0" xfId="0">
      <alignment horizontal="right"/>
    </xf>
    <xf numFmtId="0" fontId="38" fillId="14" borderId="85" applyAlignment="1" pivotButton="0" quotePrefix="0" xfId="0">
      <alignment horizontal="right"/>
    </xf>
    <xf numFmtId="0" fontId="1" fillId="14" borderId="78" applyAlignment="1" pivotButton="0" quotePrefix="0" xfId="0">
      <alignment horizontal="center" vertical="center" wrapText="1"/>
    </xf>
    <xf numFmtId="0" fontId="1" fillId="14" borderId="46" applyAlignment="1" pivotButton="0" quotePrefix="0" xfId="0">
      <alignment horizontal="center" vertical="center" wrapText="1"/>
    </xf>
    <xf numFmtId="0" fontId="24" fillId="0" borderId="55" applyAlignment="1" pivotButton="0" quotePrefix="0" xfId="0">
      <alignment horizontal="center"/>
    </xf>
    <xf numFmtId="0" fontId="24" fillId="0" borderId="14" applyAlignment="1" pivotButton="0" quotePrefix="0" xfId="0">
      <alignment horizontal="center"/>
    </xf>
    <xf numFmtId="0" fontId="24" fillId="0" borderId="85" applyAlignment="1" pivotButton="0" quotePrefix="0" xfId="0">
      <alignment horizontal="center"/>
    </xf>
    <xf numFmtId="0" fontId="12" fillId="3" borderId="11" applyAlignment="1" pivotButton="0" quotePrefix="0" xfId="0">
      <alignment horizontal="center" vertical="center"/>
    </xf>
    <xf numFmtId="0" fontId="12" fillId="3" borderId="0" applyAlignment="1" pivotButton="0" quotePrefix="0" xfId="0">
      <alignment horizontal="center" vertical="center"/>
    </xf>
    <xf numFmtId="0" fontId="12" fillId="3" borderId="14" applyAlignment="1" pivotButton="0" quotePrefix="0" xfId="0">
      <alignment horizontal="center" vertical="center"/>
    </xf>
    <xf numFmtId="0" fontId="55" fillId="14" borderId="33" applyAlignment="1" pivotButton="0" quotePrefix="0" xfId="5">
      <alignment horizontal="center" vertical="center" wrapText="1"/>
    </xf>
    <xf numFmtId="0" fontId="55" fillId="14" borderId="21" applyAlignment="1" pivotButton="0" quotePrefix="0" xfId="5">
      <alignment horizontal="center" vertical="center" wrapText="1"/>
    </xf>
    <xf numFmtId="0" fontId="55" fillId="14" borderId="22" applyAlignment="1" pivotButton="0" quotePrefix="0" xfId="5">
      <alignment horizontal="center" vertical="center" wrapText="1"/>
    </xf>
    <xf numFmtId="0" fontId="55" fillId="14" borderId="36" applyAlignment="1" pivotButton="0" quotePrefix="0" xfId="5">
      <alignment horizontal="center" vertical="center" wrapText="1"/>
    </xf>
    <xf numFmtId="0" fontId="55" fillId="14" borderId="17" applyAlignment="1" pivotButton="0" quotePrefix="0" xfId="5">
      <alignment horizontal="center" vertical="center" wrapText="1"/>
    </xf>
    <xf numFmtId="0" fontId="55" fillId="14" borderId="49" applyAlignment="1" pivotButton="0" quotePrefix="0" xfId="5">
      <alignment horizontal="center" vertical="center" wrapText="1"/>
    </xf>
    <xf numFmtId="0" fontId="38" fillId="14" borderId="51" applyAlignment="1" pivotButton="0" quotePrefix="0" xfId="0">
      <alignment horizontal="right"/>
    </xf>
    <xf numFmtId="0" fontId="38" fillId="14" borderId="0" applyAlignment="1" pivotButton="0" quotePrefix="0" xfId="0">
      <alignment horizontal="right"/>
    </xf>
    <xf numFmtId="0" fontId="38" fillId="14" borderId="16" applyAlignment="1" pivotButton="0" quotePrefix="0" xfId="0">
      <alignment horizontal="right"/>
    </xf>
    <xf numFmtId="0" fontId="53" fillId="0" borderId="21" applyAlignment="1" pivotButton="0" quotePrefix="0" xfId="5">
      <alignment horizontal="left" vertical="center" wrapText="1"/>
    </xf>
    <xf numFmtId="0" fontId="53" fillId="0" borderId="20" applyAlignment="1" pivotButton="0" quotePrefix="0" xfId="5">
      <alignment vertical="center" wrapText="1"/>
    </xf>
    <xf numFmtId="0" fontId="53" fillId="0" borderId="21" applyAlignment="1" pivotButton="0" quotePrefix="0" xfId="5">
      <alignment vertical="center" wrapText="1"/>
    </xf>
    <xf numFmtId="0" fontId="29" fillId="3" borderId="91" applyAlignment="1" applyProtection="1" pivotButton="0" quotePrefix="0" xfId="22">
      <alignment horizontal="left" wrapText="1"/>
      <protection locked="0" hidden="0"/>
    </xf>
    <xf numFmtId="0" fontId="29" fillId="3" borderId="17" applyAlignment="1" applyProtection="1" pivotButton="0" quotePrefix="0" xfId="22">
      <alignment horizontal="left" wrapText="1"/>
      <protection locked="0" hidden="0"/>
    </xf>
    <xf numFmtId="0" fontId="29" fillId="3" borderId="63" applyAlignment="1" applyProtection="1" pivotButton="0" quotePrefix="0" xfId="22">
      <alignment horizontal="left" wrapText="1"/>
      <protection locked="0" hidden="0"/>
    </xf>
    <xf numFmtId="0" fontId="29" fillId="3" borderId="21" applyAlignment="1" applyProtection="1" pivotButton="0" quotePrefix="0" xfId="22">
      <alignment horizontal="left" wrapText="1"/>
      <protection locked="0" hidden="0"/>
    </xf>
    <xf numFmtId="0" fontId="29" fillId="3" borderId="58" applyAlignment="1" applyProtection="1" pivotButton="0" quotePrefix="0" xfId="22">
      <alignment horizontal="left" wrapText="1"/>
      <protection locked="0" hidden="0"/>
    </xf>
    <xf numFmtId="0" fontId="29" fillId="3" borderId="14" applyAlignment="1" applyProtection="1" pivotButton="0" quotePrefix="0" xfId="22">
      <alignment horizontal="left" wrapText="1"/>
      <protection locked="0" hidden="0"/>
    </xf>
    <xf numFmtId="0" fontId="57" fillId="0" borderId="38" applyAlignment="1" pivotButton="0" quotePrefix="0" xfId="0">
      <alignment horizontal="center" vertical="center" textRotation="90" wrapText="1"/>
    </xf>
    <xf numFmtId="0" fontId="57" fillId="0" borderId="47" applyAlignment="1" pivotButton="0" quotePrefix="0" xfId="0">
      <alignment horizontal="center" vertical="center" textRotation="90" wrapText="1"/>
    </xf>
    <xf numFmtId="0" fontId="57" fillId="0" borderId="26" applyAlignment="1" pivotButton="0" quotePrefix="0" xfId="0">
      <alignment horizontal="center" vertical="center" textRotation="90" wrapText="1"/>
    </xf>
    <xf numFmtId="0" fontId="53" fillId="0" borderId="86" applyAlignment="1" pivotButton="0" quotePrefix="0" xfId="5">
      <alignment horizontal="left" vertical="center" wrapText="1"/>
    </xf>
    <xf numFmtId="0" fontId="49" fillId="3" borderId="0" applyAlignment="1" pivotButton="0" quotePrefix="0" xfId="0">
      <alignment horizontal="center" vertical="center"/>
    </xf>
    <xf numFmtId="0" fontId="30" fillId="0" borderId="83" applyAlignment="1" pivotButton="0" quotePrefix="0" xfId="19">
      <alignment horizontal="center" vertical="center"/>
    </xf>
    <xf numFmtId="0" fontId="32" fillId="0" borderId="83" applyAlignment="1" pivotButton="0" quotePrefix="0" xfId="19">
      <alignment horizontal="center" vertical="center"/>
    </xf>
    <xf numFmtId="0" fontId="32" fillId="0" borderId="50" applyAlignment="1" pivotButton="0" quotePrefix="0" xfId="19">
      <alignment horizontal="center" vertical="center"/>
    </xf>
    <xf numFmtId="0" fontId="58" fillId="10" borderId="11" applyAlignment="1" pivotButton="0" quotePrefix="0" xfId="0">
      <alignment horizontal="center"/>
    </xf>
    <xf numFmtId="0" fontId="58" fillId="10" borderId="12" applyAlignment="1" pivotButton="0" quotePrefix="0" xfId="0">
      <alignment horizontal="center"/>
    </xf>
    <xf numFmtId="0" fontId="29" fillId="3" borderId="51" applyAlignment="1" applyProtection="1" pivotButton="0" quotePrefix="0" xfId="22">
      <alignment horizontal="center" wrapText="1"/>
      <protection locked="0" hidden="0"/>
    </xf>
    <xf numFmtId="0" fontId="29" fillId="3" borderId="0" applyAlignment="1" applyProtection="1" pivotButton="0" quotePrefix="0" xfId="22">
      <alignment horizontal="center" wrapText="1"/>
      <protection locked="0" hidden="0"/>
    </xf>
    <xf numFmtId="0" fontId="26" fillId="0" borderId="13" applyAlignment="1" pivotButton="0" quotePrefix="0" xfId="20">
      <alignment horizontal="center" vertical="center" textRotation="90"/>
    </xf>
    <xf numFmtId="0" fontId="47" fillId="10" borderId="11" applyAlignment="1" pivotButton="0" quotePrefix="0" xfId="0">
      <alignment horizontal="center" vertical="center"/>
    </xf>
    <xf numFmtId="0" fontId="46" fillId="10" borderId="11" applyAlignment="1" pivotButton="0" quotePrefix="0" xfId="0">
      <alignment horizontal="center" vertical="center"/>
    </xf>
    <xf numFmtId="0" fontId="46" fillId="10" borderId="0" applyAlignment="1" pivotButton="0" quotePrefix="0" xfId="0">
      <alignment horizontal="center" vertical="center"/>
    </xf>
    <xf numFmtId="0" fontId="46" fillId="10" borderId="16" applyAlignment="1" pivotButton="0" quotePrefix="0" xfId="0">
      <alignment horizontal="center" vertical="center"/>
    </xf>
    <xf numFmtId="0" fontId="46" fillId="10" borderId="14" applyAlignment="1" pivotButton="0" quotePrefix="0" xfId="0">
      <alignment horizontal="center" vertical="center"/>
    </xf>
    <xf numFmtId="0" fontId="46" fillId="10" borderId="85" applyAlignment="1" pivotButton="0" quotePrefix="0" xfId="0">
      <alignment horizontal="center" vertical="center"/>
    </xf>
    <xf numFmtId="0" fontId="33" fillId="3" borderId="71" applyAlignment="1" applyProtection="1" pivotButton="0" quotePrefix="0" xfId="0">
      <alignment horizontal="center" vertical="center" textRotation="90"/>
      <protection locked="0" hidden="0"/>
    </xf>
    <xf numFmtId="0" fontId="33" fillId="3" borderId="51" applyAlignment="1" applyProtection="1" pivotButton="0" quotePrefix="0" xfId="0">
      <alignment horizontal="center" vertical="center" textRotation="90"/>
      <protection locked="0" hidden="0"/>
    </xf>
    <xf numFmtId="0" fontId="33" fillId="3" borderId="58" applyAlignment="1" applyProtection="1" pivotButton="0" quotePrefix="0" xfId="0">
      <alignment horizontal="center" vertical="center" textRotation="90"/>
      <protection locked="0" hidden="0"/>
    </xf>
    <xf numFmtId="0" fontId="33" fillId="3" borderId="38" applyAlignment="1" applyProtection="1" pivotButton="0" quotePrefix="0" xfId="0">
      <alignment horizontal="center" vertical="center" textRotation="90"/>
      <protection locked="0" hidden="0"/>
    </xf>
    <xf numFmtId="0" fontId="33" fillId="3" borderId="47" applyAlignment="1" applyProtection="1" pivotButton="0" quotePrefix="0" xfId="0">
      <alignment horizontal="center" vertical="center" textRotation="90"/>
      <protection locked="0" hidden="0"/>
    </xf>
    <xf numFmtId="0" fontId="33" fillId="3" borderId="26" applyAlignment="1" applyProtection="1" pivotButton="0" quotePrefix="0" xfId="0">
      <alignment horizontal="center" vertical="center" textRotation="90"/>
      <protection locked="0" hidden="0"/>
    </xf>
    <xf numFmtId="0" fontId="55" fillId="14" borderId="80" applyAlignment="1" pivotButton="0" quotePrefix="0" xfId="20">
      <alignment horizontal="center" vertical="center" textRotation="90"/>
    </xf>
    <xf numFmtId="0" fontId="55" fillId="14" borderId="72" applyAlignment="1" pivotButton="0" quotePrefix="0" xfId="20">
      <alignment horizontal="center" vertical="center" textRotation="90"/>
    </xf>
    <xf numFmtId="0" fontId="56" fillId="14" borderId="12" applyAlignment="1" pivotButton="0" quotePrefix="0" xfId="15">
      <alignment horizontal="center" vertical="center" textRotation="90" wrapText="1"/>
    </xf>
    <xf numFmtId="0" fontId="56" fillId="14" borderId="13" applyAlignment="1" pivotButton="0" quotePrefix="0" xfId="15">
      <alignment horizontal="center" vertical="center" textRotation="90" wrapText="1"/>
    </xf>
    <xf numFmtId="0" fontId="29" fillId="3" borderId="71" applyAlignment="1" applyProtection="1" pivotButton="0" quotePrefix="0" xfId="22">
      <alignment horizontal="left" wrapText="1"/>
      <protection locked="0" hidden="0"/>
    </xf>
    <xf numFmtId="0" fontId="29" fillId="3" borderId="11" applyAlignment="1" applyProtection="1" pivotButton="0" quotePrefix="0" xfId="22">
      <alignment horizontal="left" wrapText="1"/>
      <protection locked="0" hidden="0"/>
    </xf>
    <xf numFmtId="0" fontId="36" fillId="14" borderId="34" applyAlignment="1" pivotButton="0" quotePrefix="0" xfId="14">
      <alignment horizontal="center" vertical="center"/>
    </xf>
    <xf numFmtId="0" fontId="36" fillId="14" borderId="11" applyAlignment="1" pivotButton="0" quotePrefix="0" xfId="14">
      <alignment horizontal="center" vertical="center"/>
    </xf>
    <xf numFmtId="0" fontId="36" fillId="14" borderId="12" applyAlignment="1" pivotButton="0" quotePrefix="0" xfId="14">
      <alignment horizontal="center" vertical="center"/>
    </xf>
    <xf numFmtId="0" fontId="36" fillId="14" borderId="18" applyAlignment="1" pivotButton="0" quotePrefix="0" xfId="14">
      <alignment horizontal="center" vertical="center"/>
    </xf>
    <xf numFmtId="0" fontId="36" fillId="14" borderId="0" applyAlignment="1" pivotButton="0" quotePrefix="0" xfId="14">
      <alignment horizontal="center" vertical="center"/>
    </xf>
    <xf numFmtId="0" fontId="36" fillId="14" borderId="13" applyAlignment="1" pivotButton="0" quotePrefix="0" xfId="14">
      <alignment horizontal="center" vertical="center"/>
    </xf>
    <xf numFmtId="0" fontId="26" fillId="0" borderId="3" applyAlignment="1" pivotButton="0" quotePrefix="0" xfId="20">
      <alignment horizontal="center" vertical="center" textRotation="90"/>
    </xf>
    <xf numFmtId="0" fontId="26" fillId="0" borderId="35" applyAlignment="1" pivotButton="0" quotePrefix="0" xfId="20">
      <alignment horizontal="center" vertical="center" textRotation="90"/>
    </xf>
    <xf numFmtId="0" fontId="50" fillId="3" borderId="0" applyAlignment="1" pivotButton="0" quotePrefix="0" xfId="0">
      <alignment horizontal="center"/>
    </xf>
    <xf numFmtId="0" fontId="7" fillId="10" borderId="14" applyAlignment="1" pivotButton="0" quotePrefix="0" xfId="0">
      <alignment horizontal="center"/>
    </xf>
    <xf numFmtId="0" fontId="7" fillId="3" borderId="34" applyAlignment="1" applyProtection="1" pivotButton="0" quotePrefix="0" xfId="0">
      <alignment horizontal="center"/>
      <protection locked="0" hidden="0"/>
    </xf>
    <xf numFmtId="0" fontId="7" fillId="3" borderId="11" applyAlignment="1" applyProtection="1" pivotButton="0" quotePrefix="0" xfId="0">
      <alignment horizontal="center"/>
      <protection locked="0" hidden="0"/>
    </xf>
    <xf numFmtId="0" fontId="7" fillId="3" borderId="12" applyAlignment="1" applyProtection="1" pivotButton="0" quotePrefix="0" xfId="0">
      <alignment horizontal="center"/>
      <protection locked="0" hidden="0"/>
    </xf>
    <xf numFmtId="0" fontId="7" fillId="3" borderId="33" applyAlignment="1" applyProtection="1" pivotButton="0" quotePrefix="0" xfId="0">
      <alignment horizontal="center"/>
      <protection locked="0" hidden="0"/>
    </xf>
    <xf numFmtId="0" fontId="7" fillId="3" borderId="21" applyAlignment="1" applyProtection="1" pivotButton="0" quotePrefix="0" xfId="0">
      <alignment horizontal="center"/>
      <protection locked="0" hidden="0"/>
    </xf>
    <xf numFmtId="0" fontId="7" fillId="3" borderId="35" applyAlignment="1" applyProtection="1" pivotButton="0" quotePrefix="0" xfId="0">
      <alignment horizontal="center"/>
      <protection locked="0" hidden="0"/>
    </xf>
    <xf numFmtId="0" fontId="7" fillId="3" borderId="51" applyAlignment="1" pivotButton="0" quotePrefix="0" xfId="0">
      <alignment horizontal="center"/>
    </xf>
    <xf numFmtId="0" fontId="7" fillId="3" borderId="0" applyAlignment="1" pivotButton="0" quotePrefix="0" xfId="0">
      <alignment horizontal="center"/>
    </xf>
    <xf numFmtId="0" fontId="6" fillId="5" borderId="64" applyAlignment="1" pivotButton="0" quotePrefix="0" xfId="0">
      <alignment horizontal="center" vertical="center"/>
    </xf>
    <xf numFmtId="0" fontId="6" fillId="5" borderId="46" applyAlignment="1" pivotButton="0" quotePrefix="0" xfId="0">
      <alignment horizontal="center" vertical="center"/>
    </xf>
    <xf numFmtId="0" fontId="7" fillId="3" borderId="3" applyAlignment="1" applyProtection="1" pivotButton="0" quotePrefix="0" xfId="0">
      <alignment horizontal="center"/>
      <protection locked="0" hidden="0"/>
    </xf>
    <xf numFmtId="0" fontId="7" fillId="3" borderId="19" applyAlignment="1" applyProtection="1" pivotButton="0" quotePrefix="0" xfId="0">
      <alignment horizontal="center"/>
      <protection locked="0" hidden="0"/>
    </xf>
    <xf numFmtId="0" fontId="7" fillId="3" borderId="29" applyAlignment="1" applyProtection="1" pivotButton="0" quotePrefix="0" xfId="0">
      <alignment horizontal="center"/>
      <protection locked="0" hidden="0"/>
    </xf>
    <xf numFmtId="0" fontId="7" fillId="3" borderId="54" applyAlignment="1" applyProtection="1" pivotButton="0" quotePrefix="0" xfId="0">
      <alignment horizontal="center"/>
      <protection locked="0" hidden="0"/>
    </xf>
    <xf numFmtId="0" fontId="7" fillId="3" borderId="23" applyAlignment="1" applyProtection="1" pivotButton="0" quotePrefix="0" xfId="0">
      <alignment horizontal="center"/>
      <protection locked="0" hidden="0"/>
    </xf>
    <xf numFmtId="0" fontId="7" fillId="3" borderId="64" applyAlignment="1" applyProtection="1" pivotButton="0" quotePrefix="0" xfId="0">
      <alignment horizontal="center"/>
      <protection locked="0" hidden="0"/>
    </xf>
    <xf numFmtId="0" fontId="7" fillId="3" borderId="6" applyAlignment="1" applyProtection="1" pivotButton="0" quotePrefix="0" xfId="0">
      <alignment horizontal="center"/>
      <protection locked="0" hidden="0"/>
    </xf>
    <xf numFmtId="0" fontId="7" fillId="3" borderId="24" applyAlignment="1" applyProtection="1" pivotButton="0" quotePrefix="0" xfId="0">
      <alignment horizontal="center"/>
      <protection locked="0" hidden="0"/>
    </xf>
    <xf numFmtId="0" fontId="7" fillId="3" borderId="10" applyAlignment="1" applyProtection="1" pivotButton="0" quotePrefix="0" xfId="0">
      <alignment horizontal="center"/>
      <protection locked="0" hidden="0"/>
    </xf>
    <xf numFmtId="0" fontId="6" fillId="3" borderId="0" applyAlignment="1" pivotButton="0" quotePrefix="0" xfId="0">
      <alignment horizontal="center"/>
    </xf>
    <xf numFmtId="0" fontId="7" fillId="3" borderId="86" applyAlignment="1" applyProtection="1" pivotButton="0" quotePrefix="0" xfId="0">
      <alignment horizontal="center"/>
      <protection locked="0" hidden="0"/>
    </xf>
    <xf numFmtId="0" fontId="7" fillId="3" borderId="30" applyAlignment="1" applyProtection="1" pivotButton="0" quotePrefix="0" xfId="0">
      <alignment horizontal="center"/>
      <protection locked="0" hidden="0"/>
    </xf>
    <xf numFmtId="0" fontId="3" fillId="10" borderId="0" applyAlignment="1" pivotButton="0" quotePrefix="0" xfId="0">
      <alignment horizontal="center"/>
    </xf>
    <xf numFmtId="0" fontId="3" fillId="9" borderId="28" applyAlignment="1" pivotButton="0" quotePrefix="0" xfId="0">
      <alignment horizontal="center"/>
    </xf>
    <xf numFmtId="0" fontId="3" fillId="9" borderId="31" applyAlignment="1" pivotButton="0" quotePrefix="0" xfId="0">
      <alignment horizontal="center"/>
    </xf>
    <xf numFmtId="0" fontId="3" fillId="8" borderId="28" applyAlignment="1" pivotButton="0" quotePrefix="0" xfId="4">
      <alignment horizontal="center" vertical="center" wrapText="1"/>
    </xf>
    <xf numFmtId="0" fontId="3" fillId="8" borderId="31" applyAlignment="1" pivotButton="0" quotePrefix="0" xfId="4">
      <alignment horizontal="center" vertical="center" wrapText="1"/>
    </xf>
    <xf numFmtId="0" fontId="3" fillId="8" borderId="32" applyAlignment="1" pivotButton="0" quotePrefix="0" xfId="4">
      <alignment horizontal="center" vertical="center" wrapText="1"/>
    </xf>
    <xf numFmtId="0" fontId="3" fillId="11" borderId="7" applyAlignment="1" pivotButton="0" quotePrefix="0" xfId="0">
      <alignment horizontal="center"/>
    </xf>
    <xf numFmtId="0" fontId="3" fillId="11" borderId="1" applyAlignment="1" pivotButton="0" quotePrefix="0" xfId="0">
      <alignment horizontal="center"/>
    </xf>
    <xf numFmtId="0" fontId="3" fillId="3" borderId="58" applyAlignment="1" pivotButton="0" quotePrefix="0" xfId="3">
      <alignment horizontal="center" vertical="center" wrapText="1"/>
    </xf>
    <xf numFmtId="0" fontId="3" fillId="3" borderId="14" applyAlignment="1" pivotButton="0" quotePrefix="0" xfId="3">
      <alignment horizontal="center" vertical="center" wrapText="1"/>
    </xf>
    <xf numFmtId="0" fontId="3" fillId="3" borderId="15" applyAlignment="1" pivotButton="0" quotePrefix="0" xfId="3">
      <alignment horizontal="center" vertical="center" wrapText="1"/>
    </xf>
    <xf numFmtId="0" fontId="3" fillId="11" borderId="56" applyAlignment="1" pivotButton="0" quotePrefix="0" xfId="3">
      <alignment horizontal="center" vertical="center" wrapText="1"/>
    </xf>
    <xf numFmtId="0" fontId="3" fillId="11" borderId="46" applyAlignment="1" pivotButton="0" quotePrefix="0" xfId="3">
      <alignment horizontal="center" vertical="center" wrapText="1"/>
    </xf>
    <xf numFmtId="0" fontId="3" fillId="3" borderId="53" applyAlignment="1" applyProtection="1" pivotButton="0" quotePrefix="0" xfId="3">
      <alignment horizontal="center" vertical="center" wrapText="1"/>
      <protection locked="0" hidden="0"/>
    </xf>
    <xf numFmtId="0" fontId="3" fillId="3" borderId="54" applyAlignment="1" applyProtection="1" pivotButton="0" quotePrefix="0" xfId="3">
      <alignment horizontal="center" vertical="center" wrapText="1"/>
      <protection locked="0" hidden="0"/>
    </xf>
    <xf numFmtId="0" fontId="3" fillId="11" borderId="64" applyAlignment="1" pivotButton="0" quotePrefix="0" xfId="3">
      <alignment horizontal="center" vertical="center" wrapText="1"/>
    </xf>
    <xf numFmtId="0" fontId="3" fillId="3" borderId="29" applyAlignment="1" applyProtection="1" pivotButton="0" quotePrefix="0" xfId="3">
      <alignment horizontal="center" vertical="center" wrapText="1"/>
      <protection locked="0" hidden="0"/>
    </xf>
    <xf numFmtId="9" fontId="3" fillId="3" borderId="29" applyAlignment="1" applyProtection="1" pivotButton="0" quotePrefix="0" xfId="6">
      <alignment horizontal="center" vertical="center" wrapText="1"/>
      <protection locked="0" hidden="0"/>
    </xf>
    <xf numFmtId="9" fontId="3" fillId="3" borderId="54" applyAlignment="1" applyProtection="1" pivotButton="0" quotePrefix="0" xfId="6">
      <alignment horizontal="center" vertical="center" wrapText="1"/>
      <protection locked="0" hidden="0"/>
    </xf>
    <xf numFmtId="0" fontId="3" fillId="7" borderId="4" applyAlignment="1" pivotButton="0" quotePrefix="0" xfId="3">
      <alignment horizontal="center" vertical="center" wrapText="1"/>
    </xf>
    <xf numFmtId="0" fontId="2" fillId="7" borderId="1" applyAlignment="1" pivotButton="0" quotePrefix="0" xfId="3">
      <alignment horizontal="left" vertical="center" wrapText="1"/>
    </xf>
    <xf numFmtId="0" fontId="3" fillId="3" borderId="51" applyAlignment="1" pivotButton="0" quotePrefix="0" xfId="0">
      <alignment horizontal="center"/>
    </xf>
    <xf numFmtId="0" fontId="3" fillId="3" borderId="0" applyAlignment="1" pivotButton="0" quotePrefix="0" xfId="0">
      <alignment horizontal="center"/>
    </xf>
    <xf numFmtId="0" fontId="1" fillId="14" borderId="40" applyAlignment="1" pivotButton="0" quotePrefix="0" xfId="0">
      <alignment horizontal="center"/>
    </xf>
    <xf numFmtId="0" fontId="1" fillId="14" borderId="41" applyAlignment="1" pivotButton="0" quotePrefix="0" xfId="0">
      <alignment horizontal="center"/>
    </xf>
    <xf numFmtId="0" fontId="1" fillId="14" borderId="42" applyAlignment="1" pivotButton="0" quotePrefix="0" xfId="0">
      <alignment horizontal="center"/>
    </xf>
    <xf numFmtId="0" fontId="3" fillId="7" borderId="60" applyAlignment="1" pivotButton="0" quotePrefix="0" xfId="3">
      <alignment horizontal="center" vertical="center" wrapText="1"/>
    </xf>
    <xf numFmtId="0" fontId="3" fillId="7" borderId="61" applyAlignment="1" pivotButton="0" quotePrefix="0" xfId="3">
      <alignment horizontal="center" vertical="center" wrapText="1"/>
    </xf>
    <xf numFmtId="0" fontId="3" fillId="7" borderId="62" applyAlignment="1" pivotButton="0" quotePrefix="0" xfId="3">
      <alignment horizontal="center" vertical="center" wrapText="1"/>
    </xf>
    <xf numFmtId="0" fontId="3" fillId="7" borderId="1" applyAlignment="1" pivotButton="0" quotePrefix="0" xfId="3">
      <alignment horizontal="left" vertical="center" wrapText="1"/>
    </xf>
    <xf numFmtId="0" fontId="3" fillId="3" borderId="63" applyAlignment="1" pivotButton="0" quotePrefix="0" xfId="3">
      <alignment horizontal="center" vertical="center" wrapText="1"/>
    </xf>
    <xf numFmtId="0" fontId="3" fillId="3" borderId="21" applyAlignment="1" pivotButton="0" quotePrefix="0" xfId="3">
      <alignment horizontal="center" vertical="center" wrapText="1"/>
    </xf>
    <xf numFmtId="0" fontId="3" fillId="3" borderId="59" applyAlignment="1" pivotButton="0" quotePrefix="0" xfId="3">
      <alignment horizontal="center" vertical="center" wrapText="1"/>
    </xf>
    <xf numFmtId="0" fontId="3" fillId="11" borderId="9" applyAlignment="1" pivotButton="0" quotePrefix="0" xfId="0">
      <alignment horizontal="center"/>
    </xf>
    <xf numFmtId="0" fontId="3" fillId="11" borderId="24" applyAlignment="1" pivotButton="0" quotePrefix="0" xfId="0">
      <alignment horizontal="center"/>
    </xf>
    <xf numFmtId="0" fontId="49" fillId="3" borderId="0" applyAlignment="1" pivotButton="0" quotePrefix="0" xfId="0">
      <alignment horizontal="center" vertical="center" wrapText="1"/>
    </xf>
    <xf numFmtId="0" fontId="39" fillId="14" borderId="0" applyAlignment="1" applyProtection="1" pivotButton="0" quotePrefix="0" xfId="0">
      <alignment horizontal="center"/>
      <protection locked="0" hidden="0"/>
    </xf>
    <xf numFmtId="0" fontId="35" fillId="14" borderId="21" applyAlignment="1" applyProtection="1" pivotButton="0" quotePrefix="0" xfId="0">
      <alignment horizontal="center"/>
      <protection locked="0" hidden="0"/>
    </xf>
    <xf numFmtId="0" fontId="60" fillId="3" borderId="0" applyAlignment="1" pivotButton="0" quotePrefix="0" xfId="0">
      <alignment horizontal="center"/>
    </xf>
    <xf numFmtId="0" fontId="52" fillId="0" borderId="28" applyAlignment="1" pivotButton="0" quotePrefix="0" xfId="0">
      <alignment horizontal="center" vertical="center"/>
    </xf>
    <xf numFmtId="0" fontId="52" fillId="0" borderId="32" applyAlignment="1" pivotButton="0" quotePrefix="0" xfId="0">
      <alignment horizontal="center" vertical="center"/>
    </xf>
    <xf numFmtId="0" fontId="51" fillId="10" borderId="0" applyAlignment="1" pivotButton="0" quotePrefix="0" xfId="0">
      <alignment horizontal="center"/>
    </xf>
    <xf numFmtId="0" fontId="43" fillId="14" borderId="38" applyAlignment="1" pivotButton="0" quotePrefix="0" xfId="0">
      <alignment horizontal="center" vertical="center" textRotation="90"/>
    </xf>
    <xf numFmtId="0" fontId="43" fillId="14" borderId="47" applyAlignment="1" pivotButton="0" quotePrefix="0" xfId="0">
      <alignment horizontal="center" vertical="center" textRotation="90"/>
    </xf>
    <xf numFmtId="0" fontId="43" fillId="14" borderId="26" applyAlignment="1" pivotButton="0" quotePrefix="0" xfId="0">
      <alignment horizontal="center" vertical="center" textRotation="90"/>
    </xf>
    <xf numFmtId="0" fontId="0" fillId="3" borderId="11" applyAlignment="1" pivotButton="0" quotePrefix="0" xfId="0">
      <alignment horizontal="center" vertical="center" wrapText="1"/>
    </xf>
    <xf numFmtId="0" fontId="0" fillId="3" borderId="0" applyAlignment="1" pivotButton="0" quotePrefix="0" xfId="0">
      <alignment horizontal="center" vertical="center" wrapText="1"/>
    </xf>
    <xf numFmtId="0" fontId="0" fillId="3" borderId="17" applyAlignment="1" pivotButton="0" quotePrefix="0" xfId="0">
      <alignment horizontal="center" vertical="center" wrapText="1"/>
    </xf>
    <xf numFmtId="0" fontId="0" fillId="12" borderId="21" applyAlignment="1" pivotButton="0" quotePrefix="0" xfId="0">
      <alignment horizontal="center" vertical="center" wrapText="1"/>
    </xf>
    <xf numFmtId="0" fontId="0" fillId="12" borderId="0" applyAlignment="1" pivotButton="0" quotePrefix="0" xfId="0">
      <alignment horizontal="center" vertical="center" wrapText="1"/>
    </xf>
    <xf numFmtId="0" fontId="0" fillId="12" borderId="17" applyAlignment="1" pivotButton="0" quotePrefix="0" xfId="0">
      <alignment horizontal="center" vertical="center" wrapText="1"/>
    </xf>
    <xf numFmtId="0" fontId="0" fillId="3" borderId="21" applyAlignment="1" pivotButton="0" quotePrefix="0" xfId="0">
      <alignment horizontal="center" vertical="center" wrapText="1"/>
    </xf>
    <xf numFmtId="0" fontId="0" fillId="3" borderId="14" applyAlignment="1" pivotButton="0" quotePrefix="0" xfId="0">
      <alignment horizontal="center" vertical="center" wrapText="1"/>
    </xf>
    <xf numFmtId="0" fontId="0" fillId="3" borderId="57" applyAlignment="1" pivotButton="0" quotePrefix="0" xfId="0">
      <alignment horizontal="center" vertical="center" wrapText="1"/>
    </xf>
    <xf numFmtId="0" fontId="0" fillId="3" borderId="49" applyAlignment="1" pivotButton="0" quotePrefix="0" xfId="0">
      <alignment horizontal="center" vertical="center"/>
    </xf>
    <xf numFmtId="0" fontId="0" fillId="12" borderId="22" applyAlignment="1" pivotButton="0" quotePrefix="0" xfId="0">
      <alignment horizontal="center" vertical="center" wrapText="1"/>
    </xf>
    <xf numFmtId="0" fontId="0" fillId="12" borderId="49" applyAlignment="1" pivotButton="0" quotePrefix="0" xfId="0">
      <alignment horizontal="center" vertical="center"/>
    </xf>
    <xf numFmtId="0" fontId="0" fillId="3" borderId="22" applyAlignment="1" pivotButton="0" quotePrefix="0" xfId="0">
      <alignment horizontal="center" vertical="center" wrapText="1"/>
    </xf>
    <xf numFmtId="0" fontId="0" fillId="12" borderId="85" applyAlignment="1" pivotButton="0" quotePrefix="0" xfId="0">
      <alignment horizontal="center" vertical="center"/>
    </xf>
    <xf numFmtId="0" fontId="42" fillId="14" borderId="18" applyAlignment="1" pivotButton="0" quotePrefix="0" xfId="0">
      <alignment horizontal="center" vertical="center"/>
    </xf>
    <xf numFmtId="0" fontId="42" fillId="14" borderId="0" applyAlignment="1" pivotButton="0" quotePrefix="0" xfId="0">
      <alignment horizontal="center" vertical="center"/>
    </xf>
    <xf numFmtId="0" fontId="42" fillId="14" borderId="16" applyAlignment="1" pivotButton="0" quotePrefix="0" xfId="0">
      <alignment horizontal="center" vertical="center"/>
    </xf>
    <xf numFmtId="0" fontId="42" fillId="14" borderId="14" applyAlignment="1" pivotButton="0" quotePrefix="0" xfId="0">
      <alignment horizontal="center" vertical="center"/>
    </xf>
    <xf numFmtId="0" fontId="42" fillId="14" borderId="85" applyAlignment="1" pivotButton="0" quotePrefix="0" xfId="0">
      <alignment horizontal="center" vertical="center"/>
    </xf>
    <xf numFmtId="0" fontId="42" fillId="14" borderId="55" applyAlignment="1" pivotButton="0" quotePrefix="0" xfId="0">
      <alignment horizontal="center" vertical="center"/>
    </xf>
    <xf numFmtId="0" fontId="3" fillId="4" borderId="1" applyAlignment="1" pivotButton="0" quotePrefix="0" xfId="0">
      <alignment horizontal="center" vertical="center"/>
    </xf>
    <xf numFmtId="0" fontId="0" fillId="0" borderId="14" pivotButton="0" quotePrefix="0" xfId="0"/>
    <xf numFmtId="0" fontId="7" fillId="3" borderId="81" applyAlignment="1" applyProtection="1" pivotButton="0" quotePrefix="0" xfId="0">
      <alignment horizontal="center"/>
      <protection locked="0" hidden="0"/>
    </xf>
    <xf numFmtId="0" fontId="0" fillId="0" borderId="11" applyProtection="1" pivotButton="0" quotePrefix="0" xfId="0">
      <protection locked="0" hidden="0"/>
    </xf>
    <xf numFmtId="0" fontId="0" fillId="0" borderId="12" applyProtection="1" pivotButton="0" quotePrefix="0" xfId="0">
      <protection locked="0" hidden="0"/>
    </xf>
    <xf numFmtId="0" fontId="7" fillId="3" borderId="75" applyAlignment="1" applyProtection="1" pivotButton="0" quotePrefix="0" xfId="0">
      <alignment horizontal="center"/>
      <protection locked="0" hidden="0"/>
    </xf>
    <xf numFmtId="0" fontId="0" fillId="0" borderId="21" applyProtection="1" pivotButton="0" quotePrefix="0" xfId="0">
      <protection locked="0" hidden="0"/>
    </xf>
    <xf numFmtId="0" fontId="0" fillId="0" borderId="35" applyProtection="1" pivotButton="0" quotePrefix="0" xfId="0">
      <protection locked="0" hidden="0"/>
    </xf>
    <xf numFmtId="0" fontId="0" fillId="0" borderId="51" pivotButton="0" quotePrefix="0" xfId="0"/>
    <xf numFmtId="0" fontId="0" fillId="0" borderId="86" applyProtection="1" pivotButton="0" quotePrefix="0" xfId="0">
      <protection locked="0" hidden="0"/>
    </xf>
    <xf numFmtId="0" fontId="0" fillId="0" borderId="30" applyProtection="1" pivotButton="0" quotePrefix="0" xfId="0">
      <protection locked="0" hidden="0"/>
    </xf>
    <xf numFmtId="0" fontId="0" fillId="0" borderId="78" applyProtection="1" pivotButton="0" quotePrefix="0" xfId="0">
      <protection locked="0" hidden="0"/>
    </xf>
    <xf numFmtId="0" fontId="0" fillId="0" borderId="46" applyProtection="1" pivotButton="0" quotePrefix="0" xfId="0">
      <protection locked="0" hidden="0"/>
    </xf>
    <xf numFmtId="0" fontId="0" fillId="0" borderId="54" applyProtection="1" pivotButton="0" quotePrefix="0" xfId="0">
      <protection locked="0" hidden="0"/>
    </xf>
    <xf numFmtId="0" fontId="6" fillId="5" borderId="23" applyAlignment="1" pivotButton="0" quotePrefix="0" xfId="0">
      <alignment horizontal="center" vertical="center"/>
    </xf>
    <xf numFmtId="0" fontId="0" fillId="0" borderId="46" pivotButton="0" quotePrefix="0" xfId="0"/>
    <xf numFmtId="0" fontId="7" fillId="3" borderId="1" applyAlignment="1" applyProtection="1" pivotButton="0" quotePrefix="0" xfId="0">
      <alignment horizontal="center"/>
      <protection locked="0" hidden="0"/>
    </xf>
    <xf numFmtId="0" fontId="0" fillId="0" borderId="19" applyProtection="1" pivotButton="0" quotePrefix="0" xfId="0">
      <protection locked="0" hidden="0"/>
    </xf>
    <xf numFmtId="171" fontId="7" fillId="3" borderId="8" applyProtection="1" pivotButton="0" quotePrefix="0" xfId="0">
      <protection locked="0" hidden="0"/>
    </xf>
    <xf numFmtId="171" fontId="7" fillId="3" borderId="10" applyProtection="1" pivotButton="0" quotePrefix="0" xfId="0">
      <protection locked="0" hidden="0"/>
    </xf>
    <xf numFmtId="0" fontId="0" fillId="0" borderId="31" pivotButton="0" quotePrefix="0" xfId="0"/>
    <xf numFmtId="0" fontId="3" fillId="8" borderId="96" applyAlignment="1" pivotButton="0" quotePrefix="0" xfId="4">
      <alignment horizontal="center" vertical="center" wrapText="1"/>
    </xf>
    <xf numFmtId="0" fontId="0" fillId="0" borderId="32" pivotButton="0" quotePrefix="0" xfId="0"/>
    <xf numFmtId="0" fontId="0" fillId="0" borderId="49" pivotButton="0" quotePrefix="0" xfId="0"/>
    <xf numFmtId="0" fontId="0" fillId="0" borderId="19" pivotButton="0" quotePrefix="0" xfId="0"/>
    <xf numFmtId="0" fontId="0" fillId="0" borderId="20" pivotButton="0" quotePrefix="0" xfId="0"/>
    <xf numFmtId="0" fontId="0" fillId="0" borderId="86" pivotButton="0" quotePrefix="0" xfId="0"/>
    <xf numFmtId="0" fontId="0" fillId="0" borderId="54" pivotButton="0" quotePrefix="0" xfId="0"/>
    <xf numFmtId="0" fontId="3" fillId="3" borderId="95" applyAlignment="1" pivotButton="0" quotePrefix="0" xfId="3">
      <alignment horizontal="center" vertical="center" wrapText="1"/>
    </xf>
    <xf numFmtId="0" fontId="0" fillId="0" borderId="59" pivotButton="0" quotePrefix="0" xfId="0"/>
    <xf numFmtId="0" fontId="3" fillId="11" borderId="5" applyAlignment="1" pivotButton="0" quotePrefix="0" xfId="3">
      <alignment horizontal="center" vertical="center" wrapText="1"/>
    </xf>
    <xf numFmtId="0" fontId="3" fillId="3" borderId="9" applyAlignment="1" applyProtection="1" pivotButton="0" quotePrefix="0" xfId="3">
      <alignment horizontal="center" vertical="center" wrapText="1"/>
      <protection locked="0" hidden="0"/>
    </xf>
    <xf numFmtId="0" fontId="3" fillId="3" borderId="24" applyAlignment="1" applyProtection="1" pivotButton="0" quotePrefix="0" xfId="3">
      <alignment horizontal="center" vertical="center" wrapText="1"/>
      <protection locked="0" hidden="0"/>
    </xf>
    <xf numFmtId="0" fontId="3" fillId="3" borderId="26" applyAlignment="1" pivotButton="0" quotePrefix="0" xfId="3">
      <alignment horizontal="center" vertical="center" wrapText="1"/>
    </xf>
    <xf numFmtId="0" fontId="0" fillId="0" borderId="15" pivotButton="0" quotePrefix="0" xfId="0"/>
    <xf numFmtId="0" fontId="0" fillId="0" borderId="94" pivotButton="0" quotePrefix="0" xfId="0"/>
    <xf numFmtId="0" fontId="1" fillId="14" borderId="92" applyAlignment="1" pivotButton="0" quotePrefix="0" xfId="0">
      <alignment horizontal="center"/>
    </xf>
    <xf numFmtId="0" fontId="0" fillId="0" borderId="41" pivotButton="0" quotePrefix="0" xfId="0"/>
    <xf numFmtId="0" fontId="0" fillId="0" borderId="42" pivotButton="0" quotePrefix="0" xfId="0"/>
    <xf numFmtId="0" fontId="0" fillId="0" borderId="78" pivotButton="0" quotePrefix="0" xfId="0"/>
    <xf numFmtId="0" fontId="36" fillId="14" borderId="23" applyAlignment="1" pivotButton="0" quotePrefix="0" xfId="0">
      <alignment horizontal="center" vertical="center" wrapText="1"/>
    </xf>
    <xf numFmtId="0" fontId="12" fillId="3" borderId="31" applyAlignment="1" pivotButton="0" quotePrefix="0" xfId="0">
      <alignment horizontal="center" vertical="center"/>
    </xf>
    <xf numFmtId="0" fontId="0" fillId="0" borderId="11" pivotButton="0" quotePrefix="0" xfId="0"/>
    <xf numFmtId="0" fontId="38" fillId="14" borderId="72" applyAlignment="1" pivotButton="0" quotePrefix="0" xfId="0">
      <alignment horizontal="right"/>
    </xf>
    <xf numFmtId="0" fontId="0" fillId="0" borderId="16" pivotButton="0" quotePrefix="0" xfId="0"/>
    <xf numFmtId="0" fontId="24" fillId="0" borderId="39" applyAlignment="1" pivotButton="0" quotePrefix="0" xfId="0">
      <alignment horizontal="center"/>
    </xf>
    <xf numFmtId="0" fontId="0" fillId="0" borderId="22" pivotButton="0" quotePrefix="0" xfId="0"/>
    <xf numFmtId="168" fontId="24" fillId="3" borderId="48" applyAlignment="1" pivotButton="0" quotePrefix="0" xfId="0">
      <alignment horizontal="center"/>
    </xf>
    <xf numFmtId="0" fontId="24" fillId="0" borderId="48" applyAlignment="1" pivotButton="0" quotePrefix="0" xfId="0">
      <alignment horizontal="center"/>
    </xf>
    <xf numFmtId="0" fontId="38" fillId="14" borderId="66" applyAlignment="1" pivotButton="0" quotePrefix="0" xfId="0">
      <alignment horizontal="right"/>
    </xf>
    <xf numFmtId="0" fontId="0" fillId="0" borderId="85" pivotButton="0" quotePrefix="0" xfId="0"/>
    <xf numFmtId="0" fontId="24" fillId="0" borderId="98" applyAlignment="1" pivotButton="0" quotePrefix="0" xfId="0">
      <alignment horizontal="center"/>
    </xf>
    <xf numFmtId="168" fontId="24" fillId="3" borderId="98" applyAlignment="1" pivotButton="0" quotePrefix="0" xfId="0">
      <alignment horizontal="center"/>
    </xf>
    <xf numFmtId="0" fontId="0" fillId="0" borderId="12" pivotButton="0" quotePrefix="0" xfId="0"/>
    <xf numFmtId="0" fontId="55" fillId="14" borderId="1" applyAlignment="1" pivotButton="0" quotePrefix="0" xfId="5">
      <alignment horizontal="center" vertical="center" wrapText="1"/>
    </xf>
    <xf numFmtId="0" fontId="32" fillId="0" borderId="1" applyAlignment="1" pivotButton="0" quotePrefix="0" xfId="19">
      <alignment horizontal="center" vertical="center"/>
    </xf>
    <xf numFmtId="0" fontId="32" fillId="0" borderId="8" applyAlignment="1" pivotButton="0" quotePrefix="0" xfId="19">
      <alignment horizontal="center" vertical="center"/>
    </xf>
    <xf numFmtId="0" fontId="0" fillId="0" borderId="83" pivotButton="0" quotePrefix="0" xfId="0"/>
    <xf numFmtId="0" fontId="0" fillId="0" borderId="4" pivotButton="0" quotePrefix="0" xfId="0"/>
    <xf numFmtId="0" fontId="0" fillId="0" borderId="36" pivotButton="0" quotePrefix="0" xfId="0"/>
    <xf numFmtId="0" fontId="57" fillId="0" borderId="96" applyAlignment="1" pivotButton="0" quotePrefix="0" xfId="0">
      <alignment horizontal="center" vertical="center" textRotation="90" wrapText="1"/>
    </xf>
    <xf numFmtId="168" fontId="45" fillId="0" borderId="20" applyAlignment="1" pivotButton="0" quotePrefix="0" xfId="0">
      <alignment horizontal="center" vertical="center"/>
    </xf>
    <xf numFmtId="0" fontId="0" fillId="0" borderId="47" pivotButton="0" quotePrefix="0" xfId="0"/>
    <xf numFmtId="0" fontId="0" fillId="0" borderId="26" pivotButton="0" quotePrefix="0" xfId="0"/>
    <xf numFmtId="168" fontId="45" fillId="0" borderId="21" applyAlignment="1" pivotButton="0" quotePrefix="0" xfId="0">
      <alignment horizontal="center" vertical="center"/>
    </xf>
    <xf numFmtId="168" fontId="45" fillId="0" borderId="11" applyAlignment="1" pivotButton="0" quotePrefix="0" xfId="0">
      <alignment horizontal="center" vertical="center"/>
    </xf>
    <xf numFmtId="168" fontId="45" fillId="0" borderId="0" applyAlignment="1" pivotButton="0" quotePrefix="0" xfId="0">
      <alignment horizontal="center" vertical="center"/>
    </xf>
    <xf numFmtId="168" fontId="45" fillId="0" borderId="78" applyAlignment="1" pivotButton="0" quotePrefix="0" xfId="0">
      <alignment horizontal="center" vertical="center"/>
    </xf>
    <xf numFmtId="168" fontId="23" fillId="0" borderId="0" applyAlignment="1" applyProtection="1" pivotButton="0" quotePrefix="0" xfId="0">
      <alignment horizontal="center" vertical="center"/>
      <protection locked="0" hidden="0"/>
    </xf>
    <xf numFmtId="168" fontId="23" fillId="0" borderId="16" applyAlignment="1" applyProtection="1" pivotButton="0" quotePrefix="0" xfId="0">
      <alignment horizontal="center" vertical="center"/>
      <protection locked="0" hidden="0"/>
    </xf>
    <xf numFmtId="168" fontId="45" fillId="0" borderId="86" applyAlignment="1" pivotButton="0" quotePrefix="0" xfId="0">
      <alignment horizontal="center" vertical="center"/>
    </xf>
    <xf numFmtId="168" fontId="45" fillId="0" borderId="14" applyAlignment="1" pivotButton="0" quotePrefix="0" xfId="0">
      <alignment horizontal="center" vertical="center"/>
    </xf>
    <xf numFmtId="0" fontId="47" fillId="10" borderId="97" applyAlignment="1" pivotButton="0" quotePrefix="0" xfId="0">
      <alignment horizontal="center" vertical="center"/>
    </xf>
    <xf numFmtId="0" fontId="0" fillId="0" borderId="57" pivotButton="0" quotePrefix="0" xfId="0"/>
    <xf numFmtId="0" fontId="36" fillId="14" borderId="81" applyAlignment="1" pivotButton="0" quotePrefix="0" xfId="14">
      <alignment horizontal="center" vertical="center"/>
    </xf>
    <xf numFmtId="0" fontId="0" fillId="0" borderId="18" pivotButton="0" quotePrefix="0" xfId="0"/>
    <xf numFmtId="0" fontId="0" fillId="0" borderId="13" pivotButton="0" quotePrefix="0" xfId="0"/>
    <xf numFmtId="0" fontId="0" fillId="0" borderId="72" pivotButton="0" quotePrefix="0" xfId="0"/>
    <xf numFmtId="0" fontId="0" fillId="0" borderId="73" pivotButton="0" quotePrefix="0" xfId="0"/>
    <xf numFmtId="0" fontId="30" fillId="0" borderId="1" applyAlignment="1" pivotButton="0" quotePrefix="0" xfId="19">
      <alignment horizontal="center" vertical="center"/>
    </xf>
    <xf numFmtId="0" fontId="30" fillId="0" borderId="8" applyAlignment="1" pivotButton="0" quotePrefix="0" xfId="19">
      <alignment horizontal="center" vertical="center"/>
    </xf>
    <xf numFmtId="0" fontId="33" fillId="3" borderId="28" applyAlignment="1" applyProtection="1" pivotButton="0" quotePrefix="0" xfId="0">
      <alignment horizontal="center" vertical="center" textRotation="90"/>
      <protection locked="0" hidden="0"/>
    </xf>
    <xf numFmtId="0" fontId="0" fillId="0" borderId="51" applyProtection="1" pivotButton="0" quotePrefix="0" xfId="0">
      <protection locked="0" hidden="0"/>
    </xf>
    <xf numFmtId="0" fontId="0" fillId="0" borderId="17" applyProtection="1" pivotButton="0" quotePrefix="0" xfId="0">
      <protection locked="0" hidden="0"/>
    </xf>
    <xf numFmtId="0" fontId="0" fillId="0" borderId="58" applyProtection="1" pivotButton="0" quotePrefix="0" xfId="0">
      <protection locked="0" hidden="0"/>
    </xf>
    <xf numFmtId="0" fontId="0" fillId="0" borderId="14" applyProtection="1" pivotButton="0" quotePrefix="0" xfId="0">
      <protection locked="0" hidden="0"/>
    </xf>
    <xf numFmtId="0" fontId="33" fillId="3" borderId="96" applyAlignment="1" applyProtection="1" pivotButton="0" quotePrefix="0" xfId="0">
      <alignment horizontal="center" vertical="center" textRotation="90"/>
      <protection locked="0" hidden="0"/>
    </xf>
    <xf numFmtId="0" fontId="0" fillId="0" borderId="47" applyProtection="1" pivotButton="0" quotePrefix="0" xfId="0">
      <protection locked="0" hidden="0"/>
    </xf>
    <xf numFmtId="0" fontId="0" fillId="0" borderId="26" applyProtection="1" pivotButton="0" quotePrefix="0" xfId="0">
      <protection locked="0" hidden="0"/>
    </xf>
    <xf numFmtId="169" fontId="0" fillId="10" borderId="0" applyAlignment="1" pivotButton="0" quotePrefix="0" xfId="0">
      <alignment horizontal="right"/>
    </xf>
    <xf numFmtId="167" fontId="0" fillId="13" borderId="64" applyAlignment="1" pivotButton="0" quotePrefix="0" xfId="0">
      <alignment horizontal="center"/>
    </xf>
    <xf numFmtId="167" fontId="0" fillId="13" borderId="64" applyAlignment="1" pivotButton="0" quotePrefix="0" xfId="10">
      <alignment horizontal="center"/>
    </xf>
    <xf numFmtId="164" fontId="11" fillId="13" borderId="6" applyAlignment="1" pivotButton="0" quotePrefix="0" xfId="10">
      <alignment horizontal="center"/>
    </xf>
    <xf numFmtId="164" fontId="0" fillId="0" borderId="23" applyAlignment="1" applyProtection="1" pivotButton="0" quotePrefix="0" xfId="10">
      <alignment horizontal="left" vertical="center"/>
      <protection locked="0" hidden="0"/>
    </xf>
    <xf numFmtId="165" fontId="0" fillId="0" borderId="6" applyAlignment="1" applyProtection="1" pivotButton="0" quotePrefix="0" xfId="0">
      <alignment horizontal="center" vertical="center"/>
      <protection locked="0" hidden="0"/>
    </xf>
    <xf numFmtId="167" fontId="0" fillId="13" borderId="3" applyAlignment="1" pivotButton="0" quotePrefix="0" xfId="0">
      <alignment horizontal="center"/>
    </xf>
    <xf numFmtId="167" fontId="0" fillId="13" borderId="3" applyAlignment="1" pivotButton="0" quotePrefix="0" xfId="10">
      <alignment horizontal="center"/>
    </xf>
    <xf numFmtId="164" fontId="11" fillId="13" borderId="8" applyAlignment="1" pivotButton="0" quotePrefix="0" xfId="10">
      <alignment horizontal="center"/>
    </xf>
    <xf numFmtId="164" fontId="0" fillId="0" borderId="1" applyAlignment="1" applyProtection="1" pivotButton="0" quotePrefix="0" xfId="10">
      <alignment horizontal="left"/>
      <protection locked="0" hidden="0"/>
    </xf>
    <xf numFmtId="165" fontId="0" fillId="0" borderId="8" applyAlignment="1" applyProtection="1" pivotButton="0" quotePrefix="0" xfId="0">
      <alignment horizontal="center" vertical="center"/>
      <protection locked="0" hidden="0"/>
    </xf>
    <xf numFmtId="164" fontId="0" fillId="0" borderId="24" applyAlignment="1" applyProtection="1" pivotButton="0" quotePrefix="0" xfId="10">
      <alignment horizontal="left"/>
      <protection locked="0" hidden="0"/>
    </xf>
    <xf numFmtId="165" fontId="0" fillId="0" borderId="10" applyAlignment="1" applyProtection="1" pivotButton="0" quotePrefix="0" xfId="0">
      <alignment horizontal="center" vertical="center"/>
      <protection locked="0" hidden="0"/>
    </xf>
    <xf numFmtId="164" fontId="4" fillId="18" borderId="1" applyAlignment="1" applyProtection="1" pivotButton="0" quotePrefix="0" xfId="10">
      <alignment horizontal="left"/>
      <protection locked="0" hidden="0"/>
    </xf>
    <xf numFmtId="165" fontId="4" fillId="18" borderId="1" applyAlignment="1" applyProtection="1" pivotButton="0" quotePrefix="0" xfId="0">
      <alignment horizontal="center" vertical="center"/>
      <protection locked="0" hidden="0"/>
    </xf>
    <xf numFmtId="164" fontId="4" fillId="0" borderId="1" applyAlignment="1" applyProtection="1" pivotButton="0" quotePrefix="0" xfId="10">
      <alignment horizontal="left"/>
      <protection locked="0" hidden="0"/>
    </xf>
    <xf numFmtId="165" fontId="4" fillId="0" borderId="1" applyAlignment="1" applyProtection="1" pivotButton="0" quotePrefix="0" xfId="0">
      <alignment horizontal="center" vertical="center"/>
      <protection locked="0" hidden="0"/>
    </xf>
    <xf numFmtId="167" fontId="0" fillId="13" borderId="33" applyAlignment="1" pivotButton="0" quotePrefix="0" xfId="0">
      <alignment horizontal="center"/>
    </xf>
    <xf numFmtId="167" fontId="0" fillId="13" borderId="33" applyAlignment="1" pivotButton="0" quotePrefix="0" xfId="10">
      <alignment horizontal="center"/>
    </xf>
    <xf numFmtId="164" fontId="11" fillId="13" borderId="75" applyAlignment="1" pivotButton="0" quotePrefix="0" xfId="10">
      <alignment horizontal="center"/>
    </xf>
    <xf numFmtId="164" fontId="11" fillId="13" borderId="3" applyAlignment="1" pivotButton="0" quotePrefix="0" xfId="10">
      <alignment horizontal="center"/>
    </xf>
    <xf numFmtId="164" fontId="0" fillId="0" borderId="1" pivotButton="0" quotePrefix="0" xfId="0"/>
    <xf numFmtId="164" fontId="4" fillId="0" borderId="74" applyAlignment="1" applyProtection="1" pivotButton="0" quotePrefix="0" xfId="10">
      <alignment horizontal="left"/>
      <protection locked="0" hidden="0"/>
    </xf>
    <xf numFmtId="164" fontId="0" fillId="3" borderId="0" applyAlignment="1" applyProtection="1" pivotButton="0" quotePrefix="0" xfId="0">
      <alignment horizontal="center"/>
      <protection locked="0" hidden="0"/>
    </xf>
    <xf numFmtId="164" fontId="0" fillId="3" borderId="0" applyProtection="1" pivotButton="0" quotePrefix="0" xfId="0">
      <protection locked="0" hidden="0"/>
    </xf>
    <xf numFmtId="166" fontId="8" fillId="10" borderId="0" pivotButton="0" quotePrefix="0" xfId="0"/>
    <xf numFmtId="164" fontId="11" fillId="13" borderId="3" applyAlignment="1" applyProtection="1" pivotButton="0" quotePrefix="0" xfId="10">
      <alignment horizontal="center"/>
      <protection locked="0" hidden="0"/>
    </xf>
    <xf numFmtId="0" fontId="52" fillId="0" borderId="96" applyAlignment="1" pivotButton="0" quotePrefix="0" xfId="0">
      <alignment horizontal="center" vertical="center"/>
    </xf>
    <xf numFmtId="0" fontId="42" fillId="14" borderId="48" applyAlignment="1" pivotButton="0" quotePrefix="0" xfId="0">
      <alignment horizontal="center" vertical="center"/>
    </xf>
    <xf numFmtId="0" fontId="0" fillId="0" borderId="55" pivotButton="0" quotePrefix="0" xfId="0"/>
    <xf numFmtId="0" fontId="43" fillId="14" borderId="96" applyAlignment="1" pivotButton="0" quotePrefix="0" xfId="0">
      <alignment horizontal="center" vertical="center" textRotation="90"/>
    </xf>
    <xf numFmtId="0" fontId="0" fillId="3" borderId="46" applyAlignment="1" pivotButton="0" quotePrefix="0" xfId="0">
      <alignment horizontal="center" vertical="center" wrapText="1"/>
    </xf>
    <xf numFmtId="0" fontId="0" fillId="12" borderId="19" applyAlignment="1" pivotButton="0" quotePrefix="0" xfId="0">
      <alignment horizontal="center" vertical="center" wrapText="1"/>
    </xf>
    <xf numFmtId="0" fontId="0" fillId="3" borderId="19" applyAlignment="1" pivotButton="0" quotePrefix="0" xfId="0">
      <alignment horizontal="center" vertical="center" wrapText="1"/>
    </xf>
    <xf numFmtId="0" fontId="0" fillId="12" borderId="54" applyAlignment="1" pivotButton="0" quotePrefix="0" xfId="0">
      <alignment horizontal="center" vertical="center" wrapText="1"/>
    </xf>
    <xf numFmtId="0" fontId="0" fillId="3" borderId="78" applyAlignment="1" pivotButton="0" quotePrefix="0" xfId="0">
      <alignment horizontal="center" vertical="center" wrapText="1"/>
    </xf>
    <xf numFmtId="0" fontId="0" fillId="12" borderId="20" applyAlignment="1" pivotButton="0" quotePrefix="0" xfId="0">
      <alignment horizontal="center" vertical="center" wrapText="1"/>
    </xf>
    <xf numFmtId="0" fontId="0" fillId="3" borderId="86" applyAlignment="1" pivotButton="0" quotePrefix="0" xfId="0">
      <alignment horizontal="center" vertical="center" wrapText="1"/>
    </xf>
  </cellXfs>
  <cellStyles count="24">
    <cellStyle name="Normal" xfId="0" builtinId="0"/>
    <cellStyle name="Check Cell" xfId="1" builtinId="23"/>
    <cellStyle name="Normal 2 2" xfId="2"/>
    <cellStyle name="Note" xfId="3" builtinId="10"/>
    <cellStyle name="60% - Accent1" xfId="4" builtinId="32"/>
    <cellStyle name="Normal 6" xfId="5"/>
    <cellStyle name="Percent" xfId="6" builtinId="5"/>
    <cellStyle name="Normal 5" xfId="7"/>
    <cellStyle name="Comma 4 4" xfId="8"/>
    <cellStyle name="Percent 2" xfId="9"/>
    <cellStyle name="Currency 2" xfId="10"/>
    <cellStyle name="Output 2" xfId="11"/>
    <cellStyle name="Percent 3" xfId="12"/>
    <cellStyle name="Comma 7" xfId="13"/>
    <cellStyle name="Heading 2 2" xfId="14"/>
    <cellStyle name="Heading 3 2" xfId="15"/>
    <cellStyle name="Heading 1 2" xfId="16"/>
    <cellStyle name="Good" xfId="17" builtinId="26"/>
    <cellStyle name="Bad" xfId="18" builtinId="27"/>
    <cellStyle name="Heading 4 2" xfId="19"/>
    <cellStyle name="Normal 2" xfId="20"/>
    <cellStyle name="Period Headers" xfId="21"/>
    <cellStyle name="Activity" xfId="22"/>
    <cellStyle name="Percent Complete" xfId="23"/>
  </cellStyles>
  <dxfs count="96">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theme="0"/>
        </patternFill>
      </fill>
      <border>
        <bottom style="thin">
          <color theme="0"/>
        </bottom>
        <vertical/>
        <horizontal/>
      </border>
    </dxf>
    <dxf>
      <fill>
        <gradientFill type="linear">
          <stop position="0">
            <color theme="0"/>
          </stop>
          <stop position="0.5">
            <color theme="4" tint="0.8000122074037904"/>
          </stop>
          <stop position="1">
            <color theme="0"/>
          </stop>
        </gradientFill>
      </fill>
      <border>
        <bottom style="thin">
          <color theme="0"/>
        </bottom>
        <vertical/>
        <horizontal/>
      </border>
    </dxf>
    <dxf>
      <font>
        <strike val="0"/>
        <color theme="5" tint="-0.249946592608417"/>
      </font>
      <fill>
        <patternFill patternType="darkTrellis">
          <fgColor theme="5" tint="-0.249946592608417"/>
          <bgColor auto="1"/>
        </patternFill>
      </fill>
      <border>
        <left/>
        <right/>
        <top style="thin">
          <color auto="1"/>
        </top>
        <bottom style="thin">
          <color auto="1"/>
        </bottom>
      </border>
    </dxf>
    <dxf>
      <font>
        <strike val="0"/>
        <color rgb="FFFFFF00"/>
      </font>
      <fill>
        <patternFill patternType="darkTrellis">
          <fgColor rgb="FFFFFF00"/>
          <bgColor auto="1"/>
        </patternFill>
      </fill>
      <border>
        <left/>
        <right/>
        <top style="thin">
          <color auto="1"/>
        </top>
        <bottom style="thin">
          <color auto="1"/>
        </bottom>
      </border>
    </dxf>
    <dxf>
      <font>
        <strike val="0"/>
        <color theme="9" tint="-0.249946592608417"/>
      </font>
      <fill>
        <patternFill patternType="darkTrellis">
          <fgColor theme="9" tint="-0.249946592608417"/>
          <bgColor auto="1"/>
        </patternFill>
      </fill>
      <border>
        <left/>
        <right/>
        <top style="thin">
          <color auto="1"/>
        </top>
        <bottom style="thin">
          <color auto="1"/>
        </bottom>
      </border>
    </dxf>
    <dxf>
      <font>
        <strike val="0"/>
        <color theme="4" tint="-0.249946592608417"/>
      </font>
      <fill>
        <patternFill patternType="darkTrellis">
          <fgColor theme="4" tint="-0.249946592608417"/>
          <bgColor auto="1"/>
        </patternFill>
      </fill>
      <border>
        <left/>
        <right/>
        <top style="thin">
          <color auto="1"/>
        </top>
        <bottom style="thin">
          <color auto="1"/>
        </bottom>
      </border>
    </dxf>
    <dxf>
      <font>
        <strike val="0"/>
        <color theme="7"/>
      </font>
      <fill>
        <patternFill patternType="darkTrellis">
          <fgColor theme="7"/>
          <bgColor auto="1"/>
        </patternFill>
      </fill>
      <border>
        <left/>
        <right/>
        <top style="thin">
          <color auto="1"/>
        </top>
        <bottom style="thin">
          <color auto="1"/>
        </bottom>
      </border>
    </dxf>
    <dxf>
      <fill>
        <gradientFill type="linear">
          <stop position="0">
            <color theme="0"/>
          </stop>
          <stop position="0.5">
            <color theme="4" tint="0.8000122074037904"/>
          </stop>
          <stop position="1">
            <color theme="0"/>
          </stop>
        </gradientFill>
      </fill>
      <border>
        <bottom style="thin">
          <color theme="0"/>
        </bottom>
        <vertical/>
        <horizontal/>
      </border>
    </dxf>
    <dxf>
      <font>
        <name val="Arial"/>
        <family val="2"/>
        <strike val="0"/>
        <outline val="0"/>
        <shadow val="0"/>
        <condense val="0"/>
        <color auto="1"/>
        <extend val="0"/>
        <sz val="9"/>
        <vertAlign val="baseline"/>
      </font>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auto="1"/>
        <extend val="0"/>
        <sz val="9"/>
        <vertAlign val="baseline"/>
      </font>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auto="1"/>
        <extend val="0"/>
        <sz val="9"/>
        <vertAlign val="baseline"/>
      </font>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lor auto="1"/>
        <sz val="9"/>
        <vertAlign val="baseline"/>
      </font>
      <alignment wrapText="1"/>
      <border outline="0">
        <left style="thin">
          <color indexed="64"/>
        </left>
        <right style="thin">
          <color indexed="64"/>
        </right>
        <top style="thin">
          <color indexed="64"/>
        </top>
        <bottom style="thin">
          <color indexed="64"/>
        </bottom>
      </border>
    </dxf>
    <dxf>
      <font>
        <name val="Arial"/>
        <family val="2"/>
        <strike val="0"/>
        <outline val="0"/>
        <shadow val="0"/>
        <condense val="0"/>
        <color auto="1"/>
        <extend val="0"/>
        <sz val="9"/>
        <vertAlign val="baseline"/>
      </font>
      <alignment horizontal="general" vertical="center" wrapText="1"/>
      <border outline="0">
        <left style="thin">
          <color indexed="64"/>
        </left>
        <right style="thin">
          <color indexed="64"/>
        </right>
        <top style="thin">
          <color indexed="64"/>
        </top>
        <bottom style="thin">
          <color indexed="64"/>
        </bottom>
      </border>
    </dxf>
    <dxf>
      <font>
        <name val="Arial"/>
        <family val="2"/>
        <strike val="0"/>
        <outline val="0"/>
        <shadow val="0"/>
        <color auto="1"/>
        <sz val="9"/>
        <vertAlign val="baseline"/>
      </font>
      <alignment wrapText="1"/>
      <border outline="0">
        <left style="thin">
          <color indexed="64"/>
        </left>
        <right style="thin">
          <color indexed="64"/>
        </right>
        <top style="thin">
          <color indexed="64"/>
        </top>
        <bottom style="thin">
          <color indexed="64"/>
        </bottom>
      </border>
    </dxf>
    <dxf>
      <font>
        <name val="Arial"/>
        <family val="2"/>
        <strike val="0"/>
        <outline val="0"/>
        <shadow val="0"/>
        <condense val="0"/>
        <color auto="1"/>
        <extend val="0"/>
        <sz val="9"/>
        <vertAlign val="baseline"/>
      </font>
      <alignment horizontal="center" vertical="center" wrapText="1"/>
      <border outline="0">
        <left/>
        <right style="thin">
          <color indexed="64"/>
        </right>
        <top style="thin">
          <color indexed="64"/>
        </top>
        <bottom style="thin">
          <color indexed="64"/>
        </bottom>
      </border>
    </dxf>
    <dxf>
      <border>
        <top style="thin">
          <color indexed="64"/>
        </top>
      </border>
    </dxf>
    <dxf>
      <border>
        <left style="thin">
          <color indexed="64"/>
        </left>
        <right style="thin">
          <color indexed="64"/>
        </right>
        <top style="thin">
          <color indexed="64"/>
        </top>
        <bottom style="thin">
          <color indexed="64"/>
        </bottom>
      </border>
    </dxf>
    <dxf>
      <font>
        <name val="Arial"/>
        <family val="2"/>
        <strike val="0"/>
        <outline val="0"/>
        <shadow val="0"/>
        <condense val="0"/>
        <color auto="1"/>
        <extend val="0"/>
        <sz val="9"/>
        <vertAlign val="baseline"/>
      </font>
      <alignment horizontal="center" vertical="center" wrapText="1"/>
    </dxf>
    <dxf>
      <border>
        <bottom style="thin">
          <color indexed="64"/>
        </bottom>
      </border>
    </dxf>
    <dxf>
      <font>
        <name val="Calibri"/>
        <family val="2"/>
        <strike val="0"/>
        <outline val="0"/>
        <shadow val="0"/>
        <color theme="0"/>
        <sz val="14"/>
        <vertAlign val="baseline"/>
        <scheme val="minor"/>
      </font>
      <fill>
        <patternFill patternType="solid">
          <fgColor indexed="64"/>
          <bgColor rgb="FF002060"/>
        </patternFill>
      </fill>
      <alignment horizontal="center" vertical="center" wrapText="1"/>
      <border outline="0">
        <left style="thin">
          <color indexed="64"/>
        </left>
        <right style="thin">
          <color indexed="64"/>
        </right>
        <top/>
        <bottom/>
      </border>
    </dxf>
    <dxf>
      <font>
        <name val="Calibri"/>
        <family val="2"/>
        <strike val="0"/>
        <outline val="0"/>
        <shadow val="0"/>
        <condense val="0"/>
        <color theme="1"/>
        <extend val="0"/>
        <sz val="10"/>
        <vertAlign val="baseline"/>
        <scheme val="minor"/>
      </font>
      <fill>
        <patternFill>
          <fgColor indexed="64"/>
          <bgColor auto="1"/>
        </patternFill>
      </fill>
      <alignment horizontal="left" vertical="center" wrapText="1" readingOrder="1"/>
    </dxf>
    <dxf>
      <font>
        <name val="Calibri"/>
        <family val="2"/>
        <strike val="0"/>
        <outline val="0"/>
        <shadow val="0"/>
        <color theme="1"/>
        <sz val="10"/>
        <vertAlign val="baseline"/>
        <scheme val="minor"/>
      </font>
      <fill>
        <patternFill>
          <fgColor indexed="64"/>
          <bgColor auto="1"/>
        </patternFill>
      </fill>
      <alignment horizontal="center" vertical="center"/>
    </dxf>
    <dxf>
      <font>
        <name val="Calibri"/>
        <family val="2"/>
        <strike val="0"/>
        <outline val="0"/>
        <shadow val="0"/>
        <color theme="1"/>
        <sz val="10"/>
        <vertAlign val="baseline"/>
        <scheme val="minor"/>
      </font>
      <fill>
        <patternFill>
          <fgColor indexed="64"/>
          <bgColor auto="1"/>
        </patternFill>
      </fill>
    </dxf>
    <dxf>
      <font>
        <name val="Calibri"/>
        <family val="2"/>
        <strike val="0"/>
        <outline val="0"/>
        <shadow val="0"/>
        <color theme="1"/>
        <sz val="12"/>
        <vertAlign val="baseline"/>
        <scheme val="minor"/>
      </font>
      <fill>
        <patternFill>
          <fgColor indexed="64"/>
          <bgColor auto="1"/>
        </patternFill>
      </fill>
    </dxf>
    <dxf>
      <font>
        <name val="Calibri"/>
        <family val="2"/>
        <strike val="0"/>
        <outline val="0"/>
        <shadow val="0"/>
        <condense val="0"/>
        <color theme="1"/>
        <extend val="0"/>
        <sz val="10"/>
        <vertAlign val="baseline"/>
        <scheme val="minor"/>
      </font>
      <fill>
        <patternFill>
          <fgColor indexed="64"/>
          <bgColor auto="1"/>
        </patternFill>
      </fill>
      <alignment horizontal="left" vertical="center" wrapText="1" readingOrder="1"/>
    </dxf>
    <dxf>
      <font>
        <name val="Calibri"/>
        <family val="2"/>
        <strike val="0"/>
        <outline val="0"/>
        <shadow val="0"/>
        <color theme="1"/>
        <sz val="10"/>
        <vertAlign val="baseline"/>
        <scheme val="minor"/>
      </font>
      <fill>
        <patternFill>
          <fgColor indexed="64"/>
          <bgColor auto="1"/>
        </patternFill>
      </fill>
      <alignment horizontal="center" vertical="center"/>
    </dxf>
    <dxf>
      <font>
        <name val="Calibri"/>
        <family val="2"/>
        <strike val="0"/>
        <outline val="0"/>
        <shadow val="0"/>
        <color theme="1"/>
        <sz val="10"/>
        <vertAlign val="baseline"/>
        <scheme val="minor"/>
      </font>
      <fill>
        <patternFill>
          <fgColor indexed="64"/>
          <bgColor auto="1"/>
        </patternFill>
      </fill>
    </dxf>
    <dxf>
      <font>
        <name val="Calibri"/>
        <family val="2"/>
        <strike val="0"/>
        <outline val="0"/>
        <shadow val="0"/>
        <color theme="1"/>
        <sz val="12"/>
        <vertAlign val="baseline"/>
        <scheme val="minor"/>
      </font>
      <fill>
        <patternFill>
          <fgColor indexed="64"/>
          <bgColor auto="1"/>
        </patternFill>
      </fill>
    </dxf>
    <dxf>
      <font>
        <name val="Calibri"/>
        <family val="2"/>
        <strike val="0"/>
        <outline val="0"/>
        <shadow val="0"/>
        <condense val="0"/>
        <color theme="1"/>
        <extend val="0"/>
        <sz val="10"/>
        <vertAlign val="baseline"/>
        <scheme val="minor"/>
      </font>
      <fill>
        <patternFill>
          <fgColor indexed="64"/>
          <bgColor auto="1"/>
        </patternFill>
      </fill>
      <alignment horizontal="left" vertical="center" wrapText="1" readingOrder="1"/>
    </dxf>
    <dxf>
      <font>
        <name val="Calibri"/>
        <family val="2"/>
        <strike val="0"/>
        <outline val="0"/>
        <shadow val="0"/>
        <color theme="1"/>
        <sz val="10"/>
        <vertAlign val="baseline"/>
        <scheme val="minor"/>
      </font>
      <fill>
        <patternFill>
          <fgColor indexed="64"/>
          <bgColor auto="1"/>
        </patternFill>
      </fill>
      <alignment horizontal="center" vertical="center"/>
    </dxf>
    <dxf>
      <font>
        <name val="Calibri"/>
        <family val="2"/>
        <strike val="0"/>
        <outline val="0"/>
        <shadow val="0"/>
        <color theme="1"/>
        <sz val="10"/>
        <vertAlign val="baseline"/>
        <scheme val="minor"/>
      </font>
      <fill>
        <patternFill>
          <fgColor indexed="64"/>
          <bgColor auto="1"/>
        </patternFill>
      </fill>
    </dxf>
    <dxf>
      <font>
        <name val="Calibri"/>
        <family val="2"/>
        <strike val="0"/>
        <outline val="0"/>
        <shadow val="0"/>
        <color theme="1"/>
        <sz val="10"/>
        <vertAlign val="baseline"/>
        <scheme val="minor"/>
      </font>
      <fill>
        <patternFill>
          <fgColor indexed="64"/>
          <bgColor auto="1"/>
        </patternFill>
      </fill>
    </dxf>
    <dxf>
      <font>
        <name val="Calibri"/>
        <family val="2"/>
        <strike val="0"/>
        <outline val="0"/>
        <shadow val="0"/>
        <condense val="0"/>
        <color auto="1"/>
        <extend val="0"/>
        <sz val="11"/>
        <vertAlign val="baseline"/>
        <scheme val="minor"/>
      </font>
      <numFmt numFmtId="166" formatCode="_ &quot;₹&quot;\ * #,##0_ ;_ &quot;₹&quot;\ * \-#,##0_ ;_ &quot;₹&quot;\ * &quot;-&quot;??_ ;_ @_ "/>
      <fill>
        <patternFill patternType="solid">
          <fgColor indexed="64"/>
          <bgColor theme="0" tint="-0.1499984740745262"/>
        </patternFill>
      </fill>
      <alignment horizontal="center" vertical="bottom"/>
      <border outline="0">
        <left style="thin">
          <color indexed="64"/>
        </left>
        <right/>
        <top style="thin">
          <color indexed="64"/>
        </top>
        <bottom style="thin">
          <color indexed="64"/>
        </bottom>
      </border>
      <protection locked="0" hidden="0"/>
    </dxf>
    <dxf>
      <numFmt numFmtId="1" formatCode="0"/>
      <alignment horizontal="center" vertical="bottom"/>
      <border outline="0">
        <left style="thin">
          <color indexed="64"/>
        </left>
        <right style="thin">
          <color indexed="64"/>
        </right>
        <top style="thin">
          <color indexed="64"/>
        </top>
        <bottom style="thin">
          <color indexed="64"/>
        </bottom>
      </border>
      <protection locked="0" hidden="0"/>
    </dxf>
    <dxf>
      <alignment horizontal="center" vertical="bottom"/>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bottom"/>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bottom"/>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bottom"/>
      <border>
        <left/>
        <right style="thin">
          <color indexed="64"/>
        </right>
        <top style="thin">
          <color indexed="64"/>
        </top>
        <bottom style="thin">
          <color indexed="64"/>
        </bottom>
        <vertical style="thin">
          <color indexed="64"/>
        </vertical>
        <horizontal style="thin">
          <color indexed="64"/>
        </horizontal>
      </border>
      <protection locked="0" hidden="0"/>
    </dxf>
    <dxf>
      <border>
        <top style="thin">
          <color indexed="64"/>
        </top>
      </border>
    </dxf>
    <dxf>
      <border>
        <left style="thin">
          <color indexed="64"/>
        </left>
        <right style="thin">
          <color indexed="64"/>
        </right>
        <top style="thin">
          <color indexed="64"/>
        </top>
        <bottom style="thin">
          <color indexed="64"/>
        </bottom>
      </border>
    </dxf>
    <dxf>
      <protection locked="0" hidden="0"/>
    </dxf>
    <dxf>
      <border>
        <bottom style="thin">
          <color indexed="64"/>
        </bottom>
      </border>
    </dxf>
    <dxf>
      <font>
        <name val="Calibri"/>
        <family val="2"/>
        <strike val="0"/>
        <outline val="0"/>
        <shadow val="0"/>
        <color theme="0"/>
        <sz val="12"/>
        <vertAlign val="baseline"/>
        <scheme val="minor"/>
      </font>
      <fill>
        <patternFill patternType="solid">
          <fgColor indexed="64"/>
          <bgColor rgb="FF002060"/>
        </patternFill>
      </fill>
      <border outline="0">
        <left style="thin">
          <color indexed="64"/>
        </left>
        <right style="thin">
          <color indexed="64"/>
        </right>
        <top/>
        <bottom/>
      </border>
      <protection locked="0" hidden="0"/>
    </dxf>
    <dxf>
      <font>
        <name val="Calibri"/>
        <family val="2"/>
        <strike val="0"/>
        <outline val="0"/>
        <shadow val="0"/>
        <condense val="0"/>
        <color auto="1"/>
        <extend val="0"/>
        <sz val="11"/>
        <vertAlign val="baseline"/>
        <scheme val="minor"/>
      </font>
      <numFmt numFmtId="166" formatCode="_ &quot;₹&quot;\ * #,##0_ ;_ &quot;₹&quot;\ * \-#,##0_ ;_ &quot;₹&quot;\ * &quot;-&quot;??_ ;_ @_ "/>
      <fill>
        <patternFill patternType="solid">
          <fgColor indexed="64"/>
          <bgColor theme="0" tint="-0.1499984740745262"/>
        </patternFill>
      </fill>
      <alignment horizontal="center" vertical="bottom"/>
      <border outline="0">
        <left/>
        <right style="medium">
          <color indexed="64"/>
        </right>
        <top style="thin">
          <color indexed="64"/>
        </top>
        <bottom style="thin">
          <color indexed="64"/>
        </bottom>
      </border>
      <protection locked="1" hidden="0"/>
    </dxf>
    <dxf>
      <numFmt numFmtId="170" formatCode="_ [$₹-4009]\ * #,##0.00_ ;_ [$₹-4009]\ * \-#,##0.00_ ;_ [$₹-4009]\ * &quot;-&quot;??_ ;_ @_ "/>
      <fill>
        <patternFill patternType="solid">
          <fgColor indexed="64"/>
          <bgColor theme="0" tint="-0.1499984740745262"/>
        </patternFill>
      </fill>
      <alignment horizontal="center" vertical="bottom"/>
      <border outline="0">
        <left/>
        <right style="thin">
          <color indexed="64"/>
        </right>
        <top style="thin">
          <color indexed="64"/>
        </top>
        <bottom style="thin">
          <color indexed="64"/>
        </bottom>
      </border>
      <protection locked="1" hidden="0"/>
    </dxf>
    <dxf>
      <numFmt numFmtId="170" formatCode="_ [$₹-4009]\ * #,##0.00_ ;_ [$₹-4009]\ * \-#,##0.00_ ;_ [$₹-4009]\ * &quot;-&quot;??_ ;_ @_ "/>
      <fill>
        <patternFill patternType="solid">
          <fgColor indexed="64"/>
          <bgColor theme="0" tint="-0.1499984740745262"/>
        </patternFill>
      </fill>
      <alignment horizontal="center" vertical="bottom"/>
      <border outline="0">
        <left style="thin">
          <color indexed="64"/>
        </left>
        <right style="thin">
          <color indexed="64"/>
        </right>
        <top style="thin">
          <color indexed="64"/>
        </top>
        <bottom style="thin">
          <color indexed="64"/>
        </bottom>
      </border>
      <protection locked="1" hidden="0"/>
    </dxf>
    <dxf>
      <numFmt numFmtId="1" formatCode="0"/>
      <alignment horizontal="center" vertical="bottom"/>
      <border outline="0">
        <left style="thin">
          <color indexed="64"/>
        </left>
        <right style="thin">
          <color indexed="64"/>
        </right>
        <top style="thin">
          <color indexed="64"/>
        </top>
        <bottom style="thin">
          <color indexed="64"/>
        </bottom>
      </border>
      <protection locked="0" hidden="0"/>
    </dxf>
    <dxf>
      <numFmt numFmtId="1" formatCode="0"/>
      <alignment horizontal="center" vertical="bottom"/>
      <border>
        <left style="thin">
          <color indexed="64"/>
        </left>
        <right style="thin">
          <color indexed="64"/>
        </right>
        <top style="thin">
          <color indexed="64"/>
        </top>
        <bottom style="thin">
          <color indexed="64"/>
        </bottom>
        <vertical/>
        <horizontal/>
      </border>
      <protection locked="0" hidden="0"/>
    </dxf>
    <dxf>
      <alignment horizontal="center" vertical="bottom"/>
      <border>
        <left style="thin">
          <color indexed="64"/>
        </left>
        <right style="thin">
          <color indexed="64"/>
        </right>
        <top style="thin">
          <color indexed="64"/>
        </top>
        <bottom style="thin">
          <color indexed="64"/>
        </bottom>
        <vertical/>
        <horizontal/>
      </border>
      <protection locked="0" hidden="0"/>
    </dxf>
    <dxf>
      <alignment horizontal="center" vertical="bottom"/>
      <border>
        <left/>
        <right style="thin">
          <color indexed="64"/>
        </right>
        <top style="thin">
          <color indexed="64"/>
        </top>
        <bottom style="thin">
          <color indexed="64"/>
        </bottom>
      </border>
      <protection locked="0" hidden="0"/>
    </dxf>
    <dxf>
      <font>
        <name val="Arial"/>
        <family val="2"/>
        <b val="1"/>
        <strike val="0"/>
        <outline val="0"/>
        <shadow val="0"/>
        <condense val="0"/>
        <color auto="1"/>
        <extend val="0"/>
        <sz val="10"/>
        <vertAlign val="baseline"/>
      </font>
      <alignment horizontal="left" vertical="bottom" wrapText="1"/>
      <border>
        <left/>
        <right style="thin">
          <color indexed="64"/>
        </right>
        <top style="thin">
          <color indexed="64"/>
        </top>
        <bottom style="thin">
          <color indexed="64"/>
        </bottom>
      </border>
      <protection locked="0" hidden="0"/>
    </dxf>
    <dxf>
      <font>
        <name val="Arial"/>
        <family val="2"/>
        <b val="1"/>
        <strike val="0"/>
        <outline val="0"/>
        <shadow val="0"/>
        <condense val="0"/>
        <color auto="1"/>
        <extend val="0"/>
        <sz val="10"/>
        <vertAlign val="baseline"/>
      </font>
      <alignment horizontal="left" vertical="bottom" wrapText="1"/>
      <border>
        <left/>
        <right/>
        <top style="thin">
          <color indexed="64"/>
        </top>
        <bottom style="thin">
          <color indexed="64"/>
        </bottom>
      </border>
      <protection locked="0" hidden="0"/>
    </dxf>
    <dxf>
      <font>
        <family val="2"/>
        <b val="1"/>
      </font>
      <alignment horizontal="center" vertical="bottom"/>
      <protection locked="0" hidden="0"/>
    </dxf>
    <dxf>
      <border outline="0">
        <bottom style="medium">
          <color indexed="64"/>
        </bottom>
      </border>
    </dxf>
    <dxf>
      <protection locked="0" hidden="0"/>
    </dxf>
    <dxf>
      <fill>
        <patternFill patternType="solid">
          <fgColor indexed="64"/>
          <bgColor theme="3" tint="-0.249977111117893"/>
        </patternFill>
      </fill>
      <alignment horizontal="center" vertical="center" wrapText="1"/>
      <protection locked="1" hidden="0"/>
    </dxf>
    <dxf>
      <font>
        <color theme="1"/>
      </font>
      <numFmt numFmtId="167" formatCode="_ [$€-2]\ * #,##0.00_ ;_ [$€-2]\ * \-#,##0.00_ ;_ [$€-2]\ * &quot;-&quot;??_ ;_ @_ "/>
      <alignment horizontal="center" vertical="center"/>
      <border>
        <left style="thin">
          <color indexed="64"/>
        </left>
        <right style="thin">
          <color indexed="64"/>
        </right>
        <top style="thin">
          <color indexed="64"/>
        </top>
        <bottom style="thin">
          <color indexed="64"/>
        </bottom>
        <vertical/>
        <horizontal/>
      </border>
      <protection locked="0" hidden="0"/>
    </dxf>
    <dxf>
      <font>
        <name val="Arial"/>
        <strike val="0"/>
        <outline val="0"/>
        <shadow val="0"/>
        <condense val="0"/>
        <color theme="1"/>
        <extend val="0"/>
        <sz val="10"/>
        <vertAlign val="baseline"/>
      </font>
      <numFmt numFmtId="166" formatCode="_ &quot;₹&quot;\ * #,##0_ ;_ &quot;₹&quot;\ * \-#,##0_ ;_ &quot;₹&quot;\ * &quot;-&quot;??_ ;_ @_ "/>
      <alignment horizontal="left" vertical="bottom"/>
      <border outline="0">
        <left style="thin">
          <color indexed="64"/>
        </left>
        <right style="thin">
          <color indexed="64"/>
        </right>
        <top style="thin">
          <color indexed="64"/>
        </top>
        <bottom style="thin">
          <color indexed="64"/>
        </bottom>
      </border>
      <protection locked="0" hidden="0"/>
    </dxf>
    <dxf>
      <font>
        <color theme="1"/>
      </font>
      <alignment horizontal="left" vertical="bottom"/>
      <border outline="0">
        <left/>
        <right style="thin">
          <color indexed="64"/>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protection locked="0" hidden="0"/>
    </dxf>
    <dxf>
      <border outline="0">
        <bottom style="thin">
          <color indexed="64"/>
        </bottom>
      </border>
    </dxf>
    <dxf>
      <font>
        <strike val="0"/>
        <outline val="0"/>
        <shadow val="0"/>
        <color theme="0"/>
        <vertAlign val="baseline"/>
      </font>
      <fill>
        <patternFill>
          <fgColor indexed="64"/>
          <bgColor rgb="FF002060"/>
        </patternFill>
      </fill>
      <alignment horizontal="center" vertical="center" wrapText="1"/>
      <border outline="0">
        <left style="thin">
          <color indexed="64"/>
        </left>
        <right style="thin">
          <color indexed="64"/>
        </right>
        <top/>
        <bottom/>
      </border>
      <protection locked="0" hidden="0"/>
    </dxf>
    <dxf>
      <numFmt numFmtId="167" formatCode="_ [$€-2]\ * #,##0.00_ ;_ [$€-2]\ * \-#,##0.00_ ;_ [$€-2]\ * &quot;-&quot;??_ ;_ @_ "/>
      <alignment horizontal="center" vertical="center"/>
      <border>
        <left style="thin">
          <color indexed="64"/>
        </left>
        <right/>
        <top style="thin">
          <color indexed="64"/>
        </top>
        <bottom style="thin">
          <color indexed="64"/>
        </bottom>
      </border>
      <protection locked="0" hidden="0"/>
    </dxf>
    <dxf>
      <font>
        <name val="Arial"/>
        <strike val="0"/>
        <outline val="0"/>
        <shadow val="0"/>
        <condense val="0"/>
        <color auto="1"/>
        <extend val="0"/>
        <sz val="10"/>
        <vertAlign val="baseline"/>
      </font>
      <numFmt numFmtId="166" formatCode="_ &quot;₹&quot;\ * #,##0_ ;_ &quot;₹&quot;\ * \-#,##0_ ;_ &quot;₹&quot;\ * &quot;-&quot;??_ ;_ @_ "/>
      <alignment horizontal="left" vertical="bottom"/>
      <border outline="0">
        <left style="thin">
          <color indexed="64"/>
        </left>
        <right style="thin">
          <color indexed="64"/>
        </right>
        <top style="thin">
          <color indexed="64"/>
        </top>
        <bottom style="thin">
          <color indexed="64"/>
        </bottom>
      </border>
      <protection locked="0" hidden="0"/>
    </dxf>
    <dxf>
      <alignment horizontal="left" vertical="bottom"/>
      <border outline="0">
        <left style="thin">
          <color indexed="64"/>
        </left>
        <right style="thin">
          <color indexed="64"/>
        </right>
        <top style="thin">
          <color indexed="64"/>
        </top>
        <bottom style="thin">
          <color indexed="64"/>
        </bottom>
      </border>
      <protection locked="1" hidden="0"/>
    </dxf>
    <dxf>
      <alignment horizontal="left" vertical="bottom"/>
      <border outline="0">
        <left/>
        <right style="thin">
          <color indexed="64"/>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protection locked="0" hidden="0"/>
    </dxf>
    <dxf>
      <border outline="0">
        <bottom style="thin">
          <color indexed="64"/>
        </bottom>
      </border>
    </dxf>
    <dxf>
      <font>
        <strike val="0"/>
        <outline val="0"/>
        <shadow val="0"/>
        <color theme="0"/>
        <vertAlign val="baseline"/>
      </font>
      <fill>
        <patternFill>
          <fgColor indexed="64"/>
          <bgColor rgb="FF002060"/>
        </patternFill>
      </fill>
      <alignment horizontal="center" vertical="center" wrapText="1"/>
      <border outline="0">
        <left style="thin">
          <color indexed="64"/>
        </left>
        <right style="thin">
          <color indexed="64"/>
        </right>
        <top/>
        <bottom/>
      </border>
      <protection locked="0" hidden="0"/>
    </dxf>
    <dxf>
      <font>
        <name val="Calibri"/>
        <family val="2"/>
        <strike val="0"/>
        <outline val="0"/>
        <shadow val="0"/>
        <condense val="0"/>
        <color auto="1"/>
        <extend val="0"/>
        <sz val="10"/>
        <vertAlign val="baseline"/>
        <scheme val="minor"/>
      </font>
      <numFmt numFmtId="0" formatCode="General"/>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auto="1"/>
        <extend val="0"/>
        <sz val="10"/>
        <vertAlign val="baseline"/>
        <scheme val="minor"/>
      </font>
      <numFmt numFmtId="1" formatCode="0"/>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auto="1"/>
        <extend val="0"/>
        <sz val="10"/>
        <vertAlign val="baseline"/>
        <scheme val="minor"/>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auto="1"/>
        <extend val="0"/>
        <sz val="10"/>
        <vertAlign val="baseline"/>
        <scheme val="minor"/>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auto="1"/>
        <extend val="0"/>
        <sz val="10"/>
        <vertAlign val="baseline"/>
        <scheme val="minor"/>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lor auto="1"/>
        <sz val="10"/>
        <vertAlign val="baseline"/>
        <scheme val="minor"/>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lor auto="1"/>
        <sz val="10"/>
        <vertAlign val="baseline"/>
        <scheme val="minor"/>
      </font>
      <fill>
        <patternFill>
          <fgColor indexed="64"/>
          <bgColor indexed="65"/>
        </patternFill>
      </fill>
      <alignment horizontal="general" vertical="center" wrapText="1"/>
      <border outline="0">
        <left/>
        <right style="medium">
          <color rgb="FF8EAADB"/>
        </right>
        <top/>
        <bottom style="medium">
          <color rgb="FF8EAADB"/>
        </bottom>
      </border>
      <protection locked="0" hidden="0"/>
    </dxf>
    <dxf>
      <font>
        <name val="Calibri"/>
        <family val="2"/>
        <strike val="0"/>
        <outline val="0"/>
        <shadow val="0"/>
        <color auto="1"/>
        <sz val="10"/>
        <vertAlign val="baseline"/>
        <scheme val="minor"/>
      </font>
      <fill>
        <patternFill>
          <fgColor indexed="64"/>
          <bgColor auto="1"/>
        </patternFill>
      </fill>
      <alignment horizontal="general" vertical="center" wrapText="1"/>
      <border outline="0">
        <left/>
        <right style="medium">
          <color rgb="FF8EAADB"/>
        </right>
        <top/>
        <bottom style="medium">
          <color rgb="FF8EAADB"/>
        </bottom>
      </border>
      <protection locked="0" hidden="0"/>
    </dxf>
    <dxf>
      <font>
        <name val="Calibri"/>
        <family val="2"/>
        <strike val="0"/>
        <outline val="0"/>
        <shadow val="0"/>
        <color auto="1"/>
        <sz val="10"/>
        <vertAlign val="baseline"/>
        <scheme val="minor"/>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lor auto="1"/>
        <sz val="10"/>
        <vertAlign val="baseline"/>
        <scheme val="minor"/>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lor auto="1"/>
        <sz val="10"/>
        <vertAlign val="baseline"/>
        <scheme val="minor"/>
      </font>
      <fill>
        <patternFill>
          <fgColor indexed="64"/>
          <bgColor indexed="65"/>
        </patternFill>
      </fill>
      <alignment horizontal="center" vertical="center" wrapText="1"/>
      <border outline="0">
        <left style="thin">
          <color indexed="64"/>
        </left>
        <right style="thin">
          <color indexed="64"/>
        </right>
        <top style="thin">
          <color indexed="64"/>
        </top>
        <bottom/>
      </border>
      <protection locked="0" hidden="0"/>
    </dxf>
    <dxf>
      <border outline="0">
        <top style="double">
          <color rgb="FF3F3F3F"/>
        </top>
        <bottom style="thin">
          <color indexed="64"/>
        </bottom>
      </border>
    </dxf>
    <dxf>
      <font>
        <name val="Calibri"/>
        <family val="2"/>
        <strike val="0"/>
        <outline val="0"/>
        <shadow val="0"/>
        <condense val="0"/>
        <color auto="1"/>
        <extend val="0"/>
        <sz val="10"/>
        <vertAlign val="baseline"/>
        <scheme val="minor"/>
      </font>
      <fill>
        <patternFill>
          <fgColor indexed="64"/>
          <bgColor auto="1"/>
        </patternFill>
      </fill>
      <alignment horizontal="center" vertical="center" wrapText="1"/>
      <protection locked="0" hidden="0"/>
    </dxf>
    <dxf>
      <border>
        <bottom style="medium">
          <color indexed="64"/>
        </bottom>
      </border>
    </dxf>
    <dxf>
      <font>
        <name val="Calibri"/>
        <family val="2"/>
        <strike val="0"/>
        <outline val="0"/>
        <shadow val="0"/>
        <color theme="0"/>
        <sz val="11"/>
        <vertAlign val="baseline"/>
        <scheme val="minor"/>
      </font>
      <fill>
        <patternFill>
          <fgColor indexed="64"/>
          <bgColor rgb="FF002060"/>
        </patternFill>
      </fill>
      <alignment horizontal="center" vertical="center" wrapText="1"/>
      <border outline="0">
        <left style="double">
          <color rgb="FF3F3F3F"/>
        </left>
        <right style="double">
          <color rgb="FF3F3F3F"/>
        </right>
        <top/>
        <bottom/>
      </border>
      <protection locked="1" hidden="0"/>
    </dxf>
    <dxf>
      <alignment horizontal="center" vertical="center"/>
    </dxf>
    <dxf>
      <alignment horizontal="center"/>
    </dxf>
    <dxf>
      <fill>
        <patternFill>
          <bgColor theme="0" tint="-0.0499893185216834"/>
        </patternFill>
      </fill>
    </dxf>
    <dxf>
      <fill>
        <patternFill>
          <bgColor theme="0" tint="-0.0499893185216834"/>
        </patternFill>
      </fill>
    </dxf>
    <dxf>
      <font>
        <color theme="0"/>
      </font>
      <fill>
        <patternFill>
          <bgColor rgb="FF2B1E64"/>
        </patternFill>
      </fill>
    </dxf>
  </dxfs>
  <tableStyles count="1" defaultTableStyle="TableStyleMedium2" defaultPivotStyle="PivotStyleLight16">
    <tableStyle name="SCIL_Corporate_Table" pivot="0" count="3">
      <tableStyleElement type="headerRow" dxfId="95"/>
      <tableStyleElement type="firstRowStripe" dxfId="94"/>
      <tableStyleElement type="firstColumnStripe" dxfId="9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externalLink" Target="/xl/externalLinks/externalLink1.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Md Tarique Ahmad</author>
  </authors>
  <commentList>
    <comment ref="A3" authorId="0" shapeId="0">
      <text>
        <t xml:space="preserve">
List of complexity of requirement. ( 1 being the simplest and 5 being the complex development)</t>
      </text>
    </comment>
    <comment ref="A10" authorId="0" shapeId="0">
      <text>
        <t xml:space="preserve">
The minimum no of hours required for simplest (Complexity-1) requirement.</t>
      </text>
    </comment>
    <comment ref="C10" authorId="0" shapeId="0">
      <text>
        <t xml:space="preserve">
The minimum no of hours required for 1 integration point development.</t>
      </text>
    </comment>
    <comment ref="E10" authorId="0" shapeId="0">
      <text>
        <t xml:space="preserve">
The minimum no of hours required for 1 requirement point understanding.</t>
      </text>
    </comment>
    <comment ref="G10" authorId="0" shapeId="0">
      <text>
        <t xml:space="preserve">
The total % of efforts required for overall solution designing with respect to the Total Development hours.</t>
      </text>
    </comment>
    <comment ref="I10" authorId="0" shapeId="0">
      <text>
        <t xml:space="preserve">
The total % of efforts required for overall solution Integration testing at remote site with respect to the Total requirement hours.</t>
      </text>
    </comment>
    <comment ref="J10" authorId="0" shapeId="0">
      <text>
        <t xml:space="preserve">
The total % of efforts required for overall solution User Acceptance Testing at Plant site ,with respect to the Total requirement hours.</t>
      </text>
    </comment>
    <comment ref="K10" authorId="0" shapeId="0">
      <text>
        <t xml:space="preserve">
Total % of efforts required for Commissioning of the solution at plant site with respect to the total Requirement Hours.</t>
      </text>
    </comment>
  </commentList>
</comments>
</file>

<file path=xl/externalLinks/_rels/externalLink1.xml.rels><Relationships xmlns="http://schemas.openxmlformats.org/package/2006/relationships"><Relationship Type="http://schemas.openxmlformats.org/officeDocument/2006/relationships/externalLinkPath" Target="../../CTs/Running/CT2172%20(DPM%20Nagpur)/SPI/TCR_Technical%20Checklist%20Report.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8. Technical Checklist"/>
      <sheetName val="Checklist Sheet (2)"/>
      <sheetName val="Tabelle1 (2)"/>
      <sheetName val="Tabelle1"/>
      <sheetName val="Sheet1"/>
      <sheetName val="Tabelle2"/>
      <sheetName val="TCR_Technical Checklist Report"/>
    </sheetNames>
    <definedNames>
      <definedName name="F"/>
    </definedNames>
    <sheetDataSet>
      <sheetData sheetId="0"/>
      <sheetData sheetId="1"/>
      <sheetData sheetId="2"/>
      <sheetData sheetId="3"/>
      <sheetData sheetId="4"/>
      <sheetData sheetId="5"/>
      <sheetData sheetId="6" refreshError="1"/>
    </sheetDataSet>
  </externalBook>
</externalLink>
</file>

<file path=xl/tables/table1.xml><?xml version="1.0" encoding="utf-8"?>
<table xmlns="http://schemas.openxmlformats.org/spreadsheetml/2006/main" id="1" name="Table3" displayName="Table3" ref="A2:E433" headerRowCount="1" totalsRowShown="0" headerRowDxfId="92">
  <autoFilter ref="A2:E433"/>
  <tableColumns count="5">
    <tableColumn id="1" name="S.No" dataDxfId="91"/>
    <tableColumn id="2" name="Module"/>
    <tableColumn id="3" name="Requirement Group"/>
    <tableColumn id="4" name="Requirement Details"/>
    <tableColumn id="5" name="Remarks"/>
  </tableColumns>
  <tableStyleInfo name="SCIL_Corporate_Table" showFirstColumn="0" showLastColumn="0" showRowStripes="1" showColumnStripes="0"/>
</table>
</file>

<file path=xl/tables/table2.xml><?xml version="1.0" encoding="utf-8"?>
<table xmlns="http://schemas.openxmlformats.org/spreadsheetml/2006/main" id="2" name="Table1" displayName="Table1" ref="A16:K513" headerRowCount="1" totalsRowShown="0" headerRowDxfId="90" dataDxfId="88" headerRowBorderDxfId="89" tableBorderDxfId="87" headerRowCellStyle="Check Cell">
  <autoFilter ref="A16:K513"/>
  <tableColumns count="11">
    <tableColumn id="1" name="Req ID" dataDxfId="86"/>
    <tableColumn id="2" name="Type" dataDxfId="85"/>
    <tableColumn id="3" name="Module" dataDxfId="84"/>
    <tableColumn id="4" name="Req Category" dataDxfId="83"/>
    <tableColumn id="5" name="Req Summary" dataDxfId="82"/>
    <tableColumn id="6" name="Req Description" dataDxfId="81"/>
    <tableColumn id="7" name="Other _x000a_Integration" dataDxfId="80"/>
    <tableColumn id="8" name="SAP_x000a_Integration" dataDxfId="79"/>
    <tableColumn id="9" name="OEM _x000a_Integration" dataDxfId="78"/>
    <tableColumn id="10" name="Complexity" dataDxfId="77"/>
    <tableColumn id="11" name="Dev Efforts" dataDxfId="76">
      <calculatedColumnFormula>Table1[[#This Row],[Complexity]]*$A$11+SUM(Table1[[#This Row],[Other 
Integration]:[OEM 
Integration]])*$C$11</calculatedColumnFormula>
    </tableColumn>
  </tableColumns>
  <tableStyleInfo name="TableStyleMedium2" showFirstColumn="1" showLastColumn="0" showRowStripes="1" showColumnStripes="0"/>
</table>
</file>

<file path=xl/tables/table3.xml><?xml version="1.0" encoding="utf-8"?>
<table xmlns="http://schemas.openxmlformats.org/spreadsheetml/2006/main" id="3" name="DomesticRC" displayName="DomesticRC" ref="M2:P10" headerRowCount="1" totalsRowShown="0" headerRowDxfId="75" dataDxfId="73" headerRowBorderDxfId="74" tableBorderDxfId="72" totalsRowBorderDxfId="71">
  <autoFilter ref="M2:P10"/>
  <tableColumns count="4">
    <tableColumn id="4" name="Location" dataDxfId="70"/>
    <tableColumn id="1" name="Item" dataDxfId="69"/>
    <tableColumn id="2" name="In INR" dataDxfId="68"/>
    <tableColumn id="3" name="In EUR" dataDxfId="67"/>
  </tableColumns>
  <tableStyleInfo name="TableStyleMedium2" showFirstColumn="0" showLastColumn="0" showRowStripes="1" showColumnStripes="0"/>
</table>
</file>

<file path=xl/tables/table4.xml><?xml version="1.0" encoding="utf-8"?>
<table xmlns="http://schemas.openxmlformats.org/spreadsheetml/2006/main" id="4" name="DomesticRC7" displayName="DomesticRC7" ref="N13:P23" headerRowCount="1" totalsRowShown="0" headerRowDxfId="66" dataDxfId="64" headerRowBorderDxfId="65" tableBorderDxfId="63" totalsRowBorderDxfId="62">
  <autoFilter ref="N13:P23"/>
  <tableColumns count="3">
    <tableColumn id="1" name="Item" dataDxfId="61"/>
    <tableColumn id="2" name="In INR" dataDxfId="60"/>
    <tableColumn id="3" name="In EUR" dataDxfId="59"/>
  </tableColumns>
  <tableStyleInfo name="TableStyleMedium2" showFirstColumn="0" showLastColumn="0" showRowStripes="1" showColumnStripes="0"/>
</table>
</file>

<file path=xl/tables/table5.xml><?xml version="1.0" encoding="utf-8"?>
<table xmlns="http://schemas.openxmlformats.org/spreadsheetml/2006/main" id="5" name="TravelExpense" displayName="TravelExpense" ref="B2:K17" headerRowCount="1" totalsRowShown="0" headerRowDxfId="58" dataDxfId="57" tableBorderDxfId="56" headerRowCellStyle="Check Cell">
  <autoFilter ref="B2:K17">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filterColumn colId="9" hiddenButton="1" showButton="1"/>
  </autoFilter>
  <tableColumns count="10">
    <tableColumn id="1" name="Group" dataDxfId="55"/>
    <tableColumn id="2" name="Activity" dataDxfId="54"/>
    <tableColumn id="3" name="Location" dataDxfId="53"/>
    <tableColumn id="4" name="No of _x000a_Trips" dataDxfId="52"/>
    <tableColumn id="5" name="No Of_x000a_ resource" dataDxfId="51"/>
    <tableColumn id="6" name="Days in Each trip _x000a_including travel " dataDxfId="50"/>
    <tableColumn id="7" name="Reason" dataDxfId="49">
      <calculatedColumnFormula>TravelExpense[[#This Row],[Days in Each trip 
including travel ]]*TravelExpense[[#This Row],[No Of
 resource]]*TravelExpense[[#This Row],[No of 
Trips]]</calculatedColumnFormula>
    </tableColumn>
    <tableColumn id="8" name="Lodging _x000a_&amp; Boarding" dataDxfId="48">
      <calculatedColumnFormula>IF(D3="Domestic",($O$3+$O$4)*F3*G3*E3,($O$7+$O$8)*F3*G3*E3)</calculatedColumnFormula>
    </tableColumn>
    <tableColumn id="9" name="Conveyance" dataDxfId="47">
      <calculatedColumnFormula>IF(D3="Domestic",($O$6*E3*F3)+(E3*F3*G3*$O$5),($O$10*E3*F3)+(E3*F3*G3*$O$9))</calculatedColumnFormula>
    </tableColumn>
    <tableColumn id="10" name="Total Cost" dataDxfId="46">
      <calculatedColumnFormula>SUM(I3:J3)</calculatedColumnFormula>
    </tableColumn>
  </tableColumns>
  <tableStyleInfo name="TableStyleMedium2" showFirstColumn="0" showLastColumn="0" showRowStripes="1" showColumnStripes="0"/>
</table>
</file>

<file path=xl/tables/table6.xml><?xml version="1.0" encoding="utf-8"?>
<table xmlns="http://schemas.openxmlformats.org/spreadsheetml/2006/main" id="6" name="OtherExpense" displayName="OtherExpense" ref="B19:G34" headerRowCount="1" totalsRowShown="0" headerRowDxfId="45" dataDxfId="43" headerRowBorderDxfId="44" tableBorderDxfId="42" totalsRowBorderDxfId="41">
  <autoFilter ref="B19:G34">
    <filterColumn colId="0" hiddenButton="1" showButton="1"/>
    <filterColumn colId="1" hiddenButton="1" showButton="1"/>
    <filterColumn colId="2" hiddenButton="1" showButton="1"/>
    <filterColumn colId="3" hiddenButton="1" showButton="1"/>
    <filterColumn colId="4" hiddenButton="1" showButton="1"/>
    <filterColumn colId="5" hiddenButton="1" showButton="1"/>
  </autoFilter>
  <tableColumns count="6">
    <tableColumn id="1" name="Group" dataDxfId="40"/>
    <tableColumn id="2" name="Activity" dataDxfId="39"/>
    <tableColumn id="4" name="No Of _x000a_Times" dataDxfId="38"/>
    <tableColumn id="5" name="No Of _x000a_resource" dataDxfId="37"/>
    <tableColumn id="6" name="Reason" dataDxfId="36"/>
    <tableColumn id="10" name="Total Cost" dataDxfId="35"/>
  </tableColumns>
  <tableStyleInfo name="TableStyleMedium2" showFirstColumn="0" showLastColumn="0" showRowStripes="1" showColumnStripes="0"/>
</table>
</file>

<file path=xl/tables/table7.xml><?xml version="1.0" encoding="utf-8"?>
<table xmlns="http://schemas.openxmlformats.org/spreadsheetml/2006/main" id="7" name="Table35" displayName="Table35" ref="A3:B33" headerRowCount="1" totalsRowShown="0" headerRowDxfId="34" dataDxfId="33">
  <autoFilter ref="A3:B33">
    <filterColumn colId="0" hiddenButton="1" showButton="1"/>
    <filterColumn colId="1" hiddenButton="1" showButton="1"/>
  </autoFilter>
  <tableColumns count="2">
    <tableColumn id="1" name="S.No" dataDxfId="32"/>
    <tableColumn id="2" name="Assumption" dataDxfId="31"/>
  </tableColumns>
  <tableStyleInfo name="SCIL_Corporate_Table" showFirstColumn="0" showLastColumn="0" showRowStripes="1" showColumnStripes="0"/>
</table>
</file>

<file path=xl/tables/table8.xml><?xml version="1.0" encoding="utf-8"?>
<table xmlns="http://schemas.openxmlformats.org/spreadsheetml/2006/main" id="8" name="Table3512" displayName="Table3512" ref="D3:E33" headerRowCount="1" totalsRowShown="0" headerRowDxfId="30" dataDxfId="29">
  <autoFilter ref="D3:E33">
    <filterColumn colId="0" hiddenButton="1" showButton="1"/>
    <filterColumn colId="1" hiddenButton="1" showButton="1"/>
  </autoFilter>
  <tableColumns count="2">
    <tableColumn id="1" name="S.No" dataDxfId="28"/>
    <tableColumn id="2" name="Customer Support" dataDxfId="27"/>
  </tableColumns>
  <tableStyleInfo name="SCIL_Corporate_Table" showFirstColumn="0" showLastColumn="0" showRowStripes="1" showColumnStripes="0"/>
</table>
</file>

<file path=xl/tables/table9.xml><?xml version="1.0" encoding="utf-8"?>
<table xmlns="http://schemas.openxmlformats.org/spreadsheetml/2006/main" id="9" name="Table351213" displayName="Table351213" ref="G3:H30" headerRowCount="1" totalsRowShown="0" headerRowDxfId="26" dataDxfId="25">
  <autoFilter ref="G3:H30">
    <filterColumn colId="0" hiddenButton="1" showButton="1"/>
    <filterColumn colId="1" hiddenButton="1" showButton="1"/>
  </autoFilter>
  <tableColumns count="2">
    <tableColumn id="1" name="S.No" dataDxfId="24"/>
    <tableColumn id="2" name="Out of Scope" dataDxfId="23"/>
  </tableColumns>
  <tableStyleInfo name="SCIL_Corporate_Table" showFirstColumn="0" showLastColumn="0" showRowStripes="1" showColumnStripes="0"/>
</table>
</file>

<file path=xl/tables/table10.xml><?xml version="1.0" encoding="utf-8"?>
<table xmlns="http://schemas.openxmlformats.org/spreadsheetml/2006/main" id="10" name="Table13" displayName="Table13" ref="A2:G43" headerRowCount="1" totalsRowShown="0" headerRowDxfId="22" dataDxfId="20" headerRowBorderDxfId="21" tableBorderDxfId="19" totalsRowBorderDxfId="18" headerRowCellStyle="Check Cell">
  <autoFilter ref="A2:G43">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autoFilter>
  <sortState ref="A3:G43">
    <sortCondition ref="B9:B43"/>
  </sortState>
  <tableColumns count="7">
    <tableColumn id="1" name="S.No" dataDxfId="17"/>
    <tableColumn id="3" name="Phase" dataDxfId="16"/>
    <tableColumn id="4" name="Area" dataDxfId="15"/>
    <tableColumn id="5" name="Activity" dataDxfId="14"/>
    <tableColumn id="10" name="SCIL" dataDxfId="13"/>
    <tableColumn id="2" name="CUST" dataDxfId="12"/>
    <tableColumn id="11" name="ECST" dataDxfId="11"/>
  </tableColumns>
  <tableStyleInfo name="SCIL_Corporate_Table"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 Type="http://schemas.openxmlformats.org/officeDocument/2006/relationships/table" Target="/xl/tables/table6.xml" Id="rId4"/></Relationships>
</file>

<file path=xl/worksheets/_rels/sheet6.xml.rels><Relationships xmlns="http://schemas.openxmlformats.org/package/2006/relationships"><Relationship Type="http://schemas.openxmlformats.org/officeDocument/2006/relationships/table" Target="/xl/tables/table7.xml" Id="rId1"/><Relationship Type="http://schemas.openxmlformats.org/officeDocument/2006/relationships/table" Target="/xl/tables/table8.xml" Id="rId2"/><Relationship Type="http://schemas.openxmlformats.org/officeDocument/2006/relationships/table" Target="/xl/tables/table9.xml" Id="rId3"/></Relationships>
</file>

<file path=xl/worksheets/_rels/sheet8.xml.rels><Relationships xmlns="http://schemas.openxmlformats.org/package/2006/relationships"><Relationship Type="http://schemas.openxmlformats.org/officeDocument/2006/relationships/table" Target="/xl/tables/table10.xml" Id="rId1"/></Relationships>
</file>

<file path=xl/worksheets/sheet1.xml><?xml version="1.0" encoding="utf-8"?>
<worksheet xmlns="http://schemas.openxmlformats.org/spreadsheetml/2006/main">
  <sheetPr>
    <outlinePr summaryBelow="1" summaryRight="1"/>
    <pageSetUpPr/>
  </sheetPr>
  <dimension ref="A1:AV18"/>
  <sheetViews>
    <sheetView zoomScale="80" zoomScaleNormal="80" workbookViewId="0">
      <selection activeCell="B6" sqref="B6:D6"/>
    </sheetView>
  </sheetViews>
  <sheetFormatPr baseColWidth="8" defaultColWidth="0" defaultRowHeight="0" customHeight="1" zeroHeight="1"/>
  <cols>
    <col width="47.44140625" customWidth="1" style="3" min="1" max="1"/>
    <col width="32.77734375" customWidth="1" style="3" min="2" max="2"/>
    <col width="17.5546875" customWidth="1" style="3" min="3" max="3"/>
    <col width="45.33203125" customWidth="1" style="3" min="4" max="4"/>
    <col width="16.44140625" customWidth="1" style="3" min="5" max="6"/>
    <col hidden="1" width="9.109375" customWidth="1" min="7" max="16384"/>
  </cols>
  <sheetData>
    <row r="1" ht="22.5" customHeight="1" thickBot="1">
      <c r="A1" s="372" t="inlineStr">
        <is>
          <t>Engineering Template R6 : Released Date : 12/04/2025</t>
        </is>
      </c>
      <c r="B1" s="461" t="n"/>
      <c r="C1" s="461" t="n"/>
      <c r="D1" s="461" t="n"/>
    </row>
    <row r="2" ht="28.5" customHeight="1">
      <c r="A2" s="79" t="inlineStr">
        <is>
          <t>Customer Name</t>
        </is>
      </c>
      <c r="B2" s="462" t="inlineStr">
        <is>
          <t>Zeppelin Systems GmbH</t>
        </is>
      </c>
      <c r="C2" s="463" t="n"/>
      <c r="D2" s="464" t="n"/>
      <c r="E2" s="379" t="inlineStr">
        <is>
          <t>Zeppelin Systems GmbH</t>
        </is>
      </c>
    </row>
    <row r="3" ht="28.5" customHeight="1">
      <c r="A3" s="80" t="inlineStr">
        <is>
          <t>Manufacturing Industry  Location</t>
        </is>
      </c>
      <c r="B3" s="465" t="inlineStr">
        <is>
          <t>Kassel, Germany</t>
        </is>
      </c>
      <c r="C3" s="466" t="n"/>
      <c r="D3" s="467" t="n"/>
      <c r="E3" s="468" t="n"/>
    </row>
    <row r="4" ht="28.5" customHeight="1">
      <c r="A4" s="80" t="inlineStr">
        <is>
          <t>Manufacturing Industry Company Name</t>
        </is>
      </c>
      <c r="B4" s="465" t="inlineStr">
        <is>
          <t>Zeppelin Systems GmbH</t>
        </is>
      </c>
      <c r="C4" s="466" t="n"/>
      <c r="D4" s="467" t="n"/>
      <c r="E4" s="468" t="n"/>
    </row>
    <row r="5" ht="28.5" customHeight="1">
      <c r="A5" s="80" t="inlineStr">
        <is>
          <t>Project Name</t>
        </is>
      </c>
      <c r="B5" s="465" t="inlineStr">
        <is>
          <t>Smart SCADA – Mixer Data Logging &amp; Display</t>
        </is>
      </c>
      <c r="C5" s="466" t="n"/>
      <c r="D5" s="467" t="n"/>
      <c r="E5" s="379" t="inlineStr">
        <is>
          <t>Smart SCADA – Mixer Data Logging &amp; Display</t>
        </is>
      </c>
    </row>
    <row r="6" ht="28.5" customHeight="1" thickBot="1">
      <c r="A6" s="81" t="inlineStr">
        <is>
          <t>SCIL Reference No</t>
        </is>
      </c>
      <c r="B6" s="391" t="inlineStr">
        <is>
          <t>SCIL-ZK-2026-001</t>
        </is>
      </c>
      <c r="C6" s="469" t="n"/>
      <c r="D6" s="470" t="n"/>
      <c r="E6" s="468" t="n"/>
    </row>
    <row r="7" ht="28.5" customHeight="1" thickBot="1">
      <c r="A7" s="81" t="inlineStr">
        <is>
          <t>Revision Summary</t>
        </is>
      </c>
      <c r="B7" s="82" t="inlineStr">
        <is>
          <t>R1 – Initial Release</t>
        </is>
      </c>
      <c r="C7" s="81" t="inlineStr">
        <is>
          <t>Revision Date:</t>
        </is>
      </c>
      <c r="D7" s="83" t="inlineStr">
        <is>
          <t>10/06/2026</t>
        </is>
      </c>
      <c r="E7" s="468" t="n"/>
    </row>
    <row r="8" ht="28.5" customHeight="1" thickBot="1">
      <c r="A8" s="392" t="n"/>
    </row>
    <row r="9" ht="28.5" customHeight="1">
      <c r="A9" s="79" t="inlineStr">
        <is>
          <t>Sales Responsible</t>
        </is>
      </c>
      <c r="B9" s="387" t="inlineStr">
        <is>
          <t>Tarique Ahmed</t>
        </is>
      </c>
      <c r="C9" s="471" t="n"/>
      <c r="D9" s="472" t="n"/>
    </row>
    <row r="10" ht="28.5" customHeight="1" thickBot="1">
      <c r="A10" s="81" t="inlineStr">
        <is>
          <t>Engineering Responsible</t>
        </is>
      </c>
      <c r="B10" s="390" t="inlineStr">
        <is>
          <t>Sanjay Goyal</t>
        </is>
      </c>
      <c r="C10" s="469" t="n"/>
      <c r="D10" s="473" t="n"/>
    </row>
    <row r="11" ht="28.5" customHeight="1" thickBot="1">
      <c r="A11" s="392" t="n"/>
    </row>
    <row r="12" ht="28.5" customHeight="1">
      <c r="A12" s="84" t="inlineStr">
        <is>
          <t>Engineering Details</t>
        </is>
      </c>
      <c r="B12" s="474" t="inlineStr">
        <is>
          <t xml:space="preserve">Name </t>
        </is>
      </c>
      <c r="C12" s="475" t="n"/>
      <c r="D12" s="85" t="inlineStr">
        <is>
          <t>Date</t>
        </is>
      </c>
    </row>
    <row r="13" ht="28.5" customHeight="1">
      <c r="A13" s="80" t="inlineStr">
        <is>
          <t>Engineering Done By</t>
        </is>
      </c>
      <c r="B13" s="476" t="inlineStr">
        <is>
          <t>Sanjay Goyal</t>
        </is>
      </c>
      <c r="C13" s="477" t="n"/>
      <c r="D13" s="478" t="n">
        <v>46183</v>
      </c>
    </row>
    <row r="14" ht="28.5" customHeight="1" thickBot="1">
      <c r="A14" s="81" t="inlineStr">
        <is>
          <t>Engineering Approved By</t>
        </is>
      </c>
      <c r="B14" s="390" t="inlineStr">
        <is>
          <t>Tarique Ahmed</t>
        </is>
      </c>
      <c r="C14" s="473" t="n"/>
      <c r="D14" s="479" t="n">
        <v>46183</v>
      </c>
    </row>
    <row r="15" ht="28.5" customHeight="1"/>
    <row r="16" ht="28.5" customHeight="1">
      <c r="A16" s="371" t="inlineStr">
        <is>
          <t>Strictly Internal to Smart Controls Authorized personnel only.</t>
        </is>
      </c>
    </row>
    <row r="17" ht="14.25" customHeight="1"/>
    <row r="18" ht="14.25" customHeight="1"/>
    <row r="19" ht="14.25" customHeight="1"/>
    <row r="20" ht="14.25" customHeight="1"/>
  </sheetData>
  <sheetProtection selectLockedCells="0" selectUnlockedCells="0" algorithmName="SHA-512" sheet="1" objects="1" insertRows="1" insertHyperlinks="1" autoFilter="1" scenarios="1" formatColumns="1" deleteColumns="1" insertColumns="1" pivotTables="1" deleteRows="1" formatCells="1" saltValue="LEX4xtqg9hxJFajhOnCaqA==" formatRows="1" sort="1" spinCount="100000" hashValue="ftYV5UoIf5eg0QheZfoYWVdvNUSFzbYs9bt1Wv8K5bjKMchf9rZYZpgQXSomJESnrcZNA4zjeT0+iCAH5h9mLA=="/>
  <mergeCells count="16">
    <mergeCell ref="B13:C13"/>
    <mergeCell ref="A1:D1"/>
    <mergeCell ref="B10:D10"/>
    <mergeCell ref="B3:D3"/>
    <mergeCell ref="B5:D5"/>
    <mergeCell ref="A8:D8"/>
    <mergeCell ref="E5:F7"/>
    <mergeCell ref="B4:D4"/>
    <mergeCell ref="E2:F4"/>
    <mergeCell ref="B9:D9"/>
    <mergeCell ref="B14:C14"/>
    <mergeCell ref="A16:AV18"/>
    <mergeCell ref="A11:D11"/>
    <mergeCell ref="B6:D6"/>
    <mergeCell ref="B2:D2"/>
    <mergeCell ref="B12:C12"/>
  </mergeCells>
  <pageMargins left="0.7" right="0.7" top="0.75" bottom="0.75" header="0.3" footer="0.3"/>
  <pageSetup orientation="portrait"/>
  <headerFooter>
    <oddHeader>&amp;C&amp;"Aptos"&amp;1 &amp;K008000 Confidential GREEN#_x000d_</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M439"/>
  <sheetViews>
    <sheetView workbookViewId="0">
      <selection activeCell="C437" sqref="C437"/>
    </sheetView>
  </sheetViews>
  <sheetFormatPr baseColWidth="8" defaultColWidth="0" defaultRowHeight="14.4" zeroHeight="1"/>
  <cols>
    <col width="9.77734375" customWidth="1" style="2" min="1" max="1"/>
    <col width="19.21875" customWidth="1" min="2" max="2"/>
    <col width="36" customWidth="1" min="3" max="3"/>
    <col width="55.44140625" customWidth="1" min="4" max="4"/>
    <col width="51.109375" customWidth="1" min="5" max="5"/>
    <col width="8.88671875" customWidth="1" min="6" max="7"/>
    <col hidden="1" width="8.88671875" customWidth="1" min="8" max="16384"/>
  </cols>
  <sheetData>
    <row r="1" ht="15" customHeight="1">
      <c r="A1" s="395" t="inlineStr">
        <is>
          <t>MUST BE INCLUDED IN TECHNICAL OFFER- SCOPE OF SERVICE SECTION</t>
        </is>
      </c>
      <c r="F1" s="100" t="n"/>
      <c r="G1" s="100" t="n"/>
      <c r="H1" s="100" t="n"/>
      <c r="I1" s="100" t="n"/>
      <c r="J1" s="100" t="n"/>
      <c r="K1" s="100" t="n"/>
      <c r="L1" s="100" t="n"/>
      <c r="M1" s="100" t="n"/>
    </row>
    <row r="2">
      <c r="A2" s="2" t="inlineStr">
        <is>
          <t>S.No</t>
        </is>
      </c>
      <c r="B2" s="78" t="inlineStr">
        <is>
          <t>Module</t>
        </is>
      </c>
      <c r="C2" s="78" t="inlineStr">
        <is>
          <t>Requirement Group</t>
        </is>
      </c>
      <c r="D2" s="78" t="inlineStr">
        <is>
          <t>Requirement Details</t>
        </is>
      </c>
      <c r="E2" s="78" t="inlineStr">
        <is>
          <t>Remarks</t>
        </is>
      </c>
      <c r="F2" s="1" t="n"/>
      <c r="G2" s="1" t="n"/>
    </row>
    <row r="3">
      <c r="A3" s="2" t="n">
        <v>1</v>
      </c>
      <c r="B3" t="inlineStr">
        <is>
          <t>OPC UA</t>
        </is>
      </c>
      <c r="C3" t="inlineStr">
        <is>
          <t>Communication</t>
        </is>
      </c>
      <c r="D3" t="inlineStr">
        <is>
          <t>OPC UA Client inbuilt at application level; OPC UA Server at PLC side. Cyclic data read from configured PLC tags.</t>
        </is>
      </c>
      <c r="E3" t="inlineStr">
        <is>
          <t>Phase 1</t>
        </is>
      </c>
      <c r="F3" s="1" t="n"/>
      <c r="G3" s="1" t="n"/>
    </row>
    <row r="4">
      <c r="A4" s="2" t="n">
        <v>2</v>
      </c>
      <c r="B4" t="inlineStr">
        <is>
          <t>Configuration</t>
        </is>
      </c>
      <c r="C4" t="inlineStr">
        <is>
          <t>Mixer Setup</t>
        </is>
      </c>
      <c r="D4" t="inlineStr">
        <is>
          <t>Configuration of Mixer instances — Name, PLC endpoint URL, connection parameters.</t>
        </is>
      </c>
      <c r="E4" t="inlineStr">
        <is>
          <t>Phase 1</t>
        </is>
      </c>
      <c r="F4" s="1" t="n"/>
      <c r="G4" s="1" t="n"/>
    </row>
    <row r="5">
      <c r="A5" s="2" t="n">
        <v>3</v>
      </c>
      <c r="B5" t="inlineStr">
        <is>
          <t>Configuration</t>
        </is>
      </c>
      <c r="C5" t="inlineStr">
        <is>
          <t>Parameter Setup</t>
        </is>
      </c>
      <c r="D5" t="inlineStr">
        <is>
          <t>Configuration of parameters per Mixer — OPC tag mapping, engineering unit, scaling.</t>
        </is>
      </c>
      <c r="E5" t="inlineStr">
        <is>
          <t>Phase 1</t>
        </is>
      </c>
      <c r="F5" s="1" t="n"/>
      <c r="G5" s="1" t="n"/>
    </row>
    <row r="6">
      <c r="A6" s="2" t="n">
        <v>4</v>
      </c>
      <c r="B6" t="inlineStr">
        <is>
          <t>Configuration</t>
        </is>
      </c>
      <c r="C6" t="inlineStr">
        <is>
          <t>PLC Tag Setup</t>
        </is>
      </c>
      <c r="D6" t="inlineStr">
        <is>
          <t>Configuration of PLC OPC UA tags — Node ID, data type, logging enable/disable flag.</t>
        </is>
      </c>
      <c r="E6" t="inlineStr">
        <is>
          <t>Phase 1</t>
        </is>
      </c>
      <c r="F6" s="1" t="n"/>
      <c r="G6" s="1" t="n"/>
    </row>
    <row r="7">
      <c r="A7" s="2" t="n">
        <v>5</v>
      </c>
      <c r="B7" t="inlineStr">
        <is>
          <t>Data Logger</t>
        </is>
      </c>
      <c r="C7" t="inlineStr">
        <is>
          <t>Cyclic Logging</t>
        </is>
      </c>
      <c r="D7" t="inlineStr">
        <is>
          <t>Configured parameters logged to SQL DB cyclically. Minimum frequency: 1 second.</t>
        </is>
      </c>
      <c r="E7" t="inlineStr">
        <is>
          <t>Phase 1</t>
        </is>
      </c>
      <c r="F7" s="1" t="n"/>
      <c r="G7" s="1" t="n"/>
    </row>
    <row r="8">
      <c r="A8" s="2" t="n">
        <v>6</v>
      </c>
      <c r="B8" t="inlineStr">
        <is>
          <t>Data Logger</t>
        </is>
      </c>
      <c r="C8" t="inlineStr">
        <is>
          <t>High Freq Logging</t>
        </is>
      </c>
      <c r="D8" t="inlineStr">
        <is>
          <t>High frequency logging explored: 0.5s to 0.1s. Performance validated during development.</t>
        </is>
      </c>
      <c r="E8" t="inlineStr">
        <is>
          <t>Phase 1</t>
        </is>
      </c>
      <c r="F8" s="1" t="n"/>
      <c r="G8" s="1" t="n"/>
    </row>
    <row r="9">
      <c r="A9" s="2" t="n">
        <v>7</v>
      </c>
      <c r="B9" t="inlineStr">
        <is>
          <t>Graph Display</t>
        </is>
      </c>
      <c r="C9" t="inlineStr">
        <is>
          <t>Online Trend</t>
        </is>
      </c>
      <c r="D9" t="inlineStr">
        <is>
          <t>Real-time graph/trend display for configured parameters with live data refresh.</t>
        </is>
      </c>
      <c r="E9" t="inlineStr">
        <is>
          <t>Phase 1</t>
        </is>
      </c>
      <c r="F9" s="1" t="n"/>
      <c r="G9" s="1" t="n"/>
    </row>
    <row r="10">
      <c r="A10" s="2" t="n">
        <v>8</v>
      </c>
      <c r="B10" t="inlineStr">
        <is>
          <t>Graph Display</t>
        </is>
      </c>
      <c r="C10" t="inlineStr">
        <is>
          <t>History Trend</t>
        </is>
      </c>
      <c r="D10" t="inlineStr">
        <is>
          <t>Historical graph/trend display using logged database data.</t>
        </is>
      </c>
      <c r="E10" t="inlineStr">
        <is>
          <t>Phase 1</t>
        </is>
      </c>
      <c r="F10" s="1" t="n"/>
      <c r="G10" s="1" t="n"/>
    </row>
    <row r="11">
      <c r="A11" s="2" t="n">
        <v>9</v>
      </c>
      <c r="B11" t="inlineStr">
        <is>
          <t>Graph Display</t>
        </is>
      </c>
      <c r="C11" t="inlineStr">
        <is>
          <t>Trend Customization</t>
        </is>
      </c>
      <c r="D11" t="inlineStr">
        <is>
          <t>Graph customization: X/Y-axis span, channel selection, color, zoom, cursor line, legends.</t>
        </is>
      </c>
      <c r="E11" t="inlineStr">
        <is>
          <t>Phase 1</t>
        </is>
      </c>
      <c r="F11" s="1" t="n"/>
      <c r="G11" s="1" t="n"/>
    </row>
    <row r="12">
      <c r="A12" s="2" t="n">
        <v>10</v>
      </c>
      <c r="B12" t="inlineStr">
        <is>
          <t>Graph Display</t>
        </is>
      </c>
      <c r="C12" t="inlineStr">
        <is>
          <t>History Selection</t>
        </is>
      </c>
      <c r="D12" t="inlineStr">
        <is>
          <t>History data selection by Mixer, Date/Time range, and Batch No./ID.</t>
        </is>
      </c>
      <c r="E12" t="inlineStr">
        <is>
          <t>Phase 1</t>
        </is>
      </c>
      <c r="F12" s="1" t="n"/>
      <c r="G12" s="1" t="n"/>
    </row>
    <row r="13">
      <c r="A13" s="2" t="n">
        <v>11</v>
      </c>
      <c r="B13" t="inlineStr">
        <is>
          <t>Graph Display</t>
        </is>
      </c>
      <c r="C13" t="inlineStr">
        <is>
          <t>Batch Comparison</t>
        </is>
      </c>
      <c r="D13" t="inlineStr">
        <is>
          <t>Superimpose parameter trends for multiple selected batches on single chart.</t>
        </is>
      </c>
      <c r="E13" t="inlineStr">
        <is>
          <t>Phase 1</t>
        </is>
      </c>
      <c r="F13" s="1" t="n"/>
      <c r="G13" s="1" t="n"/>
    </row>
    <row r="14">
      <c r="A14" s="2" t="n">
        <v>12</v>
      </c>
      <c r="B14" t="inlineStr">
        <is>
          <t>Process Screen</t>
        </is>
      </c>
      <c r="C14" t="inlineStr">
        <is>
          <t>Real-time Display</t>
        </is>
      </c>
      <c r="D14" t="inlineStr">
        <is>
          <t>Process screen showing configured PLC tag values in real time.</t>
        </is>
      </c>
      <c r="E14" t="inlineStr">
        <is>
          <t>Phase 1</t>
        </is>
      </c>
      <c r="F14" s="1" t="n"/>
      <c r="G14" s="1" t="n"/>
    </row>
    <row r="15">
      <c r="A15" s="2" t="n">
        <v>13</v>
      </c>
      <c r="B15" t="inlineStr">
        <is>
          <t>Process Screen</t>
        </is>
      </c>
      <c r="C15" t="inlineStr">
        <is>
          <t>Parameter Grid</t>
        </is>
      </c>
      <c r="D15" t="inlineStr">
        <is>
          <t>Real-time parameter grid — user selects parameters to display.</t>
        </is>
      </c>
      <c r="E15" t="inlineStr">
        <is>
          <t>Phase 1</t>
        </is>
      </c>
      <c r="F15" s="1" t="n"/>
      <c r="G15" s="1" t="n"/>
    </row>
    <row r="16">
      <c r="A16" s="2" t="n">
        <v>14</v>
      </c>
      <c r="B16" t="inlineStr">
        <is>
          <t>User Management</t>
        </is>
      </c>
      <c r="C16" t="inlineStr">
        <is>
          <t>Role-based Access</t>
        </is>
      </c>
      <c r="D16" t="inlineStr">
        <is>
          <t>Role-based user management — Admin, Operator, Viewer with configurable permissions.</t>
        </is>
      </c>
      <c r="E16" t="inlineStr">
        <is>
          <t>Phase 1</t>
        </is>
      </c>
      <c r="F16" s="1" t="n"/>
      <c r="G16" s="1" t="n"/>
    </row>
    <row r="17">
      <c r="A17" s="2" t="n">
        <v>15</v>
      </c>
      <c r="B17" t="inlineStr">
        <is>
          <t>Licensing</t>
        </is>
      </c>
      <c r="C17" t="inlineStr">
        <is>
          <t>Perpetual License</t>
        </is>
      </c>
      <c r="D17" t="inlineStr">
        <is>
          <t>Instance-based perpetual licensing. License bound to hardware Machine ID.</t>
        </is>
      </c>
      <c r="E17" t="inlineStr">
        <is>
          <t>Phase 1</t>
        </is>
      </c>
      <c r="F17" s="1" t="n"/>
      <c r="G17" s="1" t="n"/>
    </row>
    <row r="18">
      <c r="A18" s="2" t="n">
        <v>16</v>
      </c>
      <c r="B18" t="inlineStr">
        <is>
          <t>System</t>
        </is>
      </c>
      <c r="C18" t="inlineStr">
        <is>
          <t>Web Application</t>
        </is>
      </c>
      <c r="D18" t="inlineStr">
        <is>
          <t>UI on web application, accessible remotely from network. Compatible with recent Windows OS.</t>
        </is>
      </c>
      <c r="E18" t="inlineStr">
        <is>
          <t>Phase 1</t>
        </is>
      </c>
      <c r="F18" s="1" t="n"/>
      <c r="G18" s="1" t="n"/>
    </row>
    <row r="19">
      <c r="A19" s="2" t="n">
        <v>17</v>
      </c>
      <c r="B19" t="inlineStr">
        <is>
          <t>System</t>
        </is>
      </c>
      <c r="C19" t="inlineStr">
        <is>
          <t>Lightweight</t>
        </is>
      </c>
      <c r="D19" t="inlineStr">
        <is>
          <t>Application runs on medium-spec PCs/laptops and Siemens Panel PCs.</t>
        </is>
      </c>
      <c r="E19" t="inlineStr">
        <is>
          <t>Phase 1</t>
        </is>
      </c>
      <c r="F19" s="1" t="n"/>
      <c r="G19" s="1" t="n"/>
    </row>
    <row r="20">
      <c r="A20" s="2" t="n">
        <v>18</v>
      </c>
      <c r="B20" t="inlineStr">
        <is>
          <t>Language</t>
        </is>
      </c>
      <c r="C20" t="inlineStr">
        <is>
          <t>Multi-language</t>
        </is>
      </c>
      <c r="D20" t="inlineStr">
        <is>
          <t>German and English language support. Language selectable via text list. Extensible for future languages.</t>
        </is>
      </c>
      <c r="E20" t="inlineStr">
        <is>
          <t>Phase 1</t>
        </is>
      </c>
      <c r="F20" s="1" t="n"/>
      <c r="G20" s="1" t="n"/>
    </row>
    <row r="21">
      <c r="A21" s="2" t="n">
        <v>19</v>
      </c>
      <c r="B21" t="inlineStr">
        <is>
          <t>Recipe Mgmt</t>
        </is>
      </c>
      <c r="C21" t="inlineStr">
        <is>
          <t>Recipe Management</t>
        </is>
      </c>
      <c r="D21" t="inlineStr">
        <is>
          <t>Recipe Management module — create, edit, activate recipes. Detailed scope in Phase 2 FDS.</t>
        </is>
      </c>
      <c r="E21" t="inlineStr">
        <is>
          <t>Phase 2 – Future</t>
        </is>
      </c>
      <c r="F21" s="1" t="n"/>
      <c r="G21" s="1" t="n"/>
    </row>
    <row r="22">
      <c r="A22" s="2" t="n">
        <v>20</v>
      </c>
      <c r="B22" t="inlineStr">
        <is>
          <t>Production</t>
        </is>
      </c>
      <c r="C22" t="inlineStr">
        <is>
          <t>Production Order</t>
        </is>
      </c>
      <c r="D22" t="inlineStr">
        <is>
          <t>Production Order management — create, track, close. Linked to recipe and mixer.</t>
        </is>
      </c>
      <c r="E22" t="inlineStr">
        <is>
          <t>Phase 2 – Future</t>
        </is>
      </c>
      <c r="F22" s="1" t="n"/>
      <c r="G22" s="1" t="n"/>
    </row>
    <row r="23">
      <c r="A23" s="2" t="n">
        <v>21</v>
      </c>
      <c r="B23" t="inlineStr">
        <is>
          <t>Integration</t>
        </is>
      </c>
      <c r="C23" t="inlineStr">
        <is>
          <t>PLC Transfer</t>
        </is>
      </c>
      <c r="D23" t="inlineStr">
        <is>
          <t>Production Order and Recipe transfer to PLC via OPC UA write with ACK handling.</t>
        </is>
      </c>
      <c r="E23" t="inlineStr">
        <is>
          <t>Phase 2 – Future</t>
        </is>
      </c>
      <c r="F23" s="1" t="n"/>
      <c r="G23" s="1" t="n"/>
    </row>
    <row r="24">
      <c r="A24" s="2" t="n">
        <v>22</v>
      </c>
      <c r="B24" t="inlineStr">
        <is>
          <t>Reporting</t>
        </is>
      </c>
      <c r="C24" t="inlineStr">
        <is>
          <t>Batch Report Log</t>
        </is>
      </c>
      <c r="D24" t="inlineStr">
        <is>
          <t>Batch report logging at end-of-batch PLC event — capture summary data to DB.</t>
        </is>
      </c>
      <c r="E24" t="inlineStr">
        <is>
          <t>Phase 2 – Future</t>
        </is>
      </c>
      <c r="F24" s="1" t="n"/>
      <c r="G24" s="1" t="n"/>
    </row>
    <row r="25">
      <c r="A25" s="2" t="n">
        <v>23</v>
      </c>
      <c r="B25" t="inlineStr">
        <is>
          <t>Reporting</t>
        </is>
      </c>
      <c r="C25" t="inlineStr">
        <is>
          <t>Batch Report Display</t>
        </is>
      </c>
      <c r="D25" t="inlineStr">
        <is>
          <t>View, filter, export batch reports in tabular and graphical format.</t>
        </is>
      </c>
      <c r="E25" t="inlineStr">
        <is>
          <t>Phase 2 – Future</t>
        </is>
      </c>
      <c r="F25" s="1" t="n"/>
      <c r="G25" s="1" t="n"/>
    </row>
    <row r="26">
      <c r="A26" s="2" t="n">
        <v>24</v>
      </c>
      <c r="F26" s="1" t="n"/>
      <c r="G26" s="1" t="n"/>
    </row>
    <row r="27">
      <c r="A27" s="2" t="n">
        <v>25</v>
      </c>
      <c r="F27" s="1" t="n"/>
      <c r="G27" s="1" t="n"/>
    </row>
    <row r="28">
      <c r="A28" s="2" t="n">
        <v>26</v>
      </c>
      <c r="F28" s="1" t="n"/>
      <c r="G28" s="1" t="n"/>
    </row>
    <row r="29">
      <c r="A29" s="2" t="n">
        <v>27</v>
      </c>
      <c r="F29" s="1" t="n"/>
      <c r="G29" s="1" t="n"/>
    </row>
    <row r="30">
      <c r="A30" s="2" t="n">
        <v>28</v>
      </c>
      <c r="F30" s="1" t="n"/>
      <c r="G30" s="1" t="n"/>
    </row>
    <row r="31">
      <c r="A31" s="2" t="n">
        <v>29</v>
      </c>
      <c r="F31" s="1" t="n"/>
      <c r="G31" s="1" t="n"/>
    </row>
    <row r="32">
      <c r="A32" s="2" t="n">
        <v>30</v>
      </c>
      <c r="F32" s="1" t="n"/>
      <c r="G32" s="1" t="n"/>
    </row>
    <row r="33">
      <c r="A33" s="2" t="n">
        <v>31</v>
      </c>
      <c r="F33" s="1" t="n"/>
      <c r="G33" s="1" t="n"/>
    </row>
    <row r="34">
      <c r="A34" s="2" t="n">
        <v>32</v>
      </c>
      <c r="F34" s="1" t="n"/>
      <c r="G34" s="1" t="n"/>
    </row>
    <row r="35">
      <c r="A35" s="2" t="n">
        <v>33</v>
      </c>
      <c r="F35" s="1" t="n"/>
      <c r="G35" s="1" t="n"/>
    </row>
    <row r="36">
      <c r="A36" s="2" t="n">
        <v>34</v>
      </c>
      <c r="F36" s="1" t="n"/>
      <c r="G36" s="1" t="n"/>
    </row>
    <row r="37">
      <c r="A37" s="2" t="n">
        <v>35</v>
      </c>
      <c r="F37" s="1" t="n"/>
      <c r="G37" s="1" t="n"/>
    </row>
    <row r="38">
      <c r="A38" s="2" t="n">
        <v>36</v>
      </c>
      <c r="F38" s="1" t="n"/>
      <c r="G38" s="1" t="n"/>
    </row>
    <row r="39">
      <c r="A39" s="2" t="n">
        <v>37</v>
      </c>
      <c r="F39" s="1" t="n"/>
      <c r="G39" s="1" t="n"/>
    </row>
    <row r="40">
      <c r="A40" s="2" t="n">
        <v>38</v>
      </c>
      <c r="F40" s="1" t="n"/>
      <c r="G40" s="1" t="n"/>
    </row>
    <row r="41">
      <c r="A41" s="2" t="n">
        <v>39</v>
      </c>
      <c r="F41" s="1" t="n"/>
      <c r="G41" s="1" t="n"/>
    </row>
    <row r="42">
      <c r="A42" s="2" t="n">
        <v>40</v>
      </c>
      <c r="F42" s="1" t="n"/>
      <c r="G42" s="1" t="n"/>
    </row>
    <row r="43">
      <c r="A43" s="2" t="n">
        <v>41</v>
      </c>
      <c r="F43" s="1" t="n"/>
      <c r="G43" s="1" t="n"/>
    </row>
    <row r="44">
      <c r="A44" s="2" t="n">
        <v>42</v>
      </c>
      <c r="F44" s="1" t="n"/>
      <c r="G44" s="1" t="n"/>
    </row>
    <row r="45">
      <c r="A45" s="2" t="n">
        <v>43</v>
      </c>
      <c r="F45" s="1" t="n"/>
      <c r="G45" s="1" t="n"/>
    </row>
    <row r="46">
      <c r="A46" s="2" t="n">
        <v>44</v>
      </c>
      <c r="F46" s="1" t="n"/>
      <c r="G46" s="1" t="n"/>
    </row>
    <row r="47">
      <c r="A47" s="2" t="n">
        <v>45</v>
      </c>
      <c r="F47" s="1" t="n"/>
      <c r="G47" s="1" t="n"/>
    </row>
    <row r="48">
      <c r="A48" s="2" t="n">
        <v>46</v>
      </c>
      <c r="F48" s="1" t="n"/>
      <c r="G48" s="1" t="n"/>
    </row>
    <row r="49">
      <c r="A49" s="2" t="n">
        <v>47</v>
      </c>
      <c r="F49" s="1" t="n"/>
      <c r="G49" s="1" t="n"/>
    </row>
    <row r="50">
      <c r="A50" s="2" t="n">
        <v>48</v>
      </c>
      <c r="F50" s="1" t="n"/>
      <c r="G50" s="1" t="n"/>
    </row>
    <row r="51">
      <c r="A51" s="2" t="n">
        <v>49</v>
      </c>
      <c r="F51" s="1" t="n"/>
      <c r="G51" s="1" t="n"/>
    </row>
    <row r="52">
      <c r="A52" s="2" t="n">
        <v>50</v>
      </c>
      <c r="F52" s="1" t="n"/>
      <c r="G52" s="1" t="n"/>
    </row>
    <row r="53">
      <c r="A53" s="2" t="n">
        <v>51</v>
      </c>
      <c r="F53" s="1" t="n"/>
      <c r="G53" s="1" t="n"/>
    </row>
    <row r="54">
      <c r="A54" s="2" t="n">
        <v>52</v>
      </c>
      <c r="F54" s="1" t="n"/>
      <c r="G54" s="1" t="n"/>
    </row>
    <row r="55">
      <c r="A55" s="2" t="n">
        <v>53</v>
      </c>
      <c r="F55" s="1" t="n"/>
      <c r="G55" s="1" t="n"/>
    </row>
    <row r="56">
      <c r="A56" s="2" t="n">
        <v>54</v>
      </c>
      <c r="F56" s="1" t="n"/>
      <c r="G56" s="1" t="n"/>
    </row>
    <row r="57">
      <c r="A57" s="2" t="n">
        <v>55</v>
      </c>
      <c r="F57" s="1" t="n"/>
      <c r="G57" s="1" t="n"/>
    </row>
    <row r="58">
      <c r="A58" s="2" t="n">
        <v>56</v>
      </c>
      <c r="F58" s="1" t="n"/>
      <c r="G58" s="1" t="n"/>
    </row>
    <row r="59">
      <c r="A59" s="2" t="n">
        <v>57</v>
      </c>
      <c r="F59" s="1" t="n"/>
      <c r="G59" s="1" t="n"/>
    </row>
    <row r="60">
      <c r="A60" s="2" t="n">
        <v>58</v>
      </c>
      <c r="F60" s="1" t="n"/>
      <c r="G60" s="1" t="n"/>
    </row>
    <row r="61">
      <c r="A61" s="2" t="n">
        <v>59</v>
      </c>
      <c r="F61" s="1" t="n"/>
      <c r="G61" s="1" t="n"/>
    </row>
    <row r="62">
      <c r="A62" s="2" t="n">
        <v>60</v>
      </c>
      <c r="F62" s="1" t="n"/>
      <c r="G62" s="1" t="n"/>
    </row>
    <row r="63">
      <c r="A63" s="2" t="n">
        <v>61</v>
      </c>
      <c r="F63" s="1" t="n"/>
      <c r="G63" s="1" t="n"/>
    </row>
    <row r="64">
      <c r="A64" s="2" t="n">
        <v>62</v>
      </c>
      <c r="F64" s="1" t="n"/>
      <c r="G64" s="1" t="n"/>
    </row>
    <row r="65">
      <c r="A65" s="2" t="n">
        <v>63</v>
      </c>
      <c r="F65" s="1" t="n"/>
      <c r="G65" s="1" t="n"/>
    </row>
    <row r="66">
      <c r="A66" s="2" t="n">
        <v>64</v>
      </c>
      <c r="F66" s="1" t="n"/>
      <c r="G66" s="1" t="n"/>
    </row>
    <row r="67">
      <c r="A67" s="2" t="n">
        <v>65</v>
      </c>
      <c r="F67" s="1" t="n"/>
      <c r="G67" s="1" t="n"/>
    </row>
    <row r="68">
      <c r="A68" s="2" t="n">
        <v>66</v>
      </c>
      <c r="F68" s="1" t="n"/>
      <c r="G68" s="1" t="n"/>
    </row>
    <row r="69">
      <c r="A69" s="2" t="n">
        <v>67</v>
      </c>
      <c r="F69" s="1" t="n"/>
      <c r="G69" s="1" t="n"/>
    </row>
    <row r="70">
      <c r="A70" s="2" t="n">
        <v>68</v>
      </c>
      <c r="F70" s="1" t="n"/>
      <c r="G70" s="1" t="n"/>
    </row>
    <row r="71">
      <c r="A71" s="2" t="n">
        <v>69</v>
      </c>
      <c r="F71" s="1" t="n"/>
      <c r="G71" s="1" t="n"/>
    </row>
    <row r="72">
      <c r="A72" s="2" t="n">
        <v>70</v>
      </c>
      <c r="F72" s="1" t="n"/>
      <c r="G72" s="1" t="n"/>
    </row>
    <row r="73">
      <c r="A73" s="2" t="n">
        <v>71</v>
      </c>
      <c r="F73" s="1" t="n"/>
      <c r="G73" s="1" t="n"/>
    </row>
    <row r="74">
      <c r="A74" s="2" t="n">
        <v>72</v>
      </c>
      <c r="F74" s="1" t="n"/>
      <c r="G74" s="1" t="n"/>
    </row>
    <row r="75">
      <c r="A75" s="2" t="n">
        <v>73</v>
      </c>
      <c r="F75" s="1" t="n"/>
      <c r="G75" s="1" t="n"/>
    </row>
    <row r="76">
      <c r="A76" s="2" t="n">
        <v>74</v>
      </c>
      <c r="F76" s="1" t="n"/>
      <c r="G76" s="1" t="n"/>
    </row>
    <row r="77">
      <c r="A77" s="2" t="n">
        <v>75</v>
      </c>
      <c r="F77" s="1" t="n"/>
      <c r="G77" s="1" t="n"/>
    </row>
    <row r="78">
      <c r="A78" s="2" t="n">
        <v>76</v>
      </c>
      <c r="F78" s="1" t="n"/>
      <c r="G78" s="1" t="n"/>
    </row>
    <row r="79">
      <c r="A79" s="2" t="n">
        <v>77</v>
      </c>
      <c r="F79" s="1" t="n"/>
      <c r="G79" s="1" t="n"/>
    </row>
    <row r="80">
      <c r="A80" s="2" t="n">
        <v>78</v>
      </c>
      <c r="F80" s="1" t="n"/>
      <c r="G80" s="1" t="n"/>
    </row>
    <row r="81">
      <c r="A81" s="2" t="n">
        <v>79</v>
      </c>
      <c r="F81" s="1" t="n"/>
      <c r="G81" s="1" t="n"/>
    </row>
    <row r="82">
      <c r="A82" s="2" t="n">
        <v>80</v>
      </c>
      <c r="F82" s="1" t="n"/>
      <c r="G82" s="1" t="n"/>
    </row>
    <row r="83">
      <c r="A83" s="2" t="n">
        <v>81</v>
      </c>
      <c r="F83" s="1" t="n"/>
      <c r="G83" s="1" t="n"/>
    </row>
    <row r="84">
      <c r="A84" s="2" t="n">
        <v>82</v>
      </c>
      <c r="F84" s="1" t="n"/>
      <c r="G84" s="1" t="n"/>
    </row>
    <row r="85">
      <c r="A85" s="2" t="n">
        <v>83</v>
      </c>
      <c r="F85" s="1" t="n"/>
      <c r="G85" s="1" t="n"/>
    </row>
    <row r="86">
      <c r="A86" s="2" t="n">
        <v>84</v>
      </c>
      <c r="F86" s="1" t="n"/>
      <c r="G86" s="1" t="n"/>
    </row>
    <row r="87">
      <c r="A87" s="2" t="n">
        <v>85</v>
      </c>
      <c r="F87" s="1" t="n"/>
      <c r="G87" s="1" t="n"/>
    </row>
    <row r="88">
      <c r="A88" s="2" t="n">
        <v>86</v>
      </c>
      <c r="F88" s="1" t="n"/>
      <c r="G88" s="1" t="n"/>
    </row>
    <row r="89">
      <c r="A89" s="2" t="n">
        <v>87</v>
      </c>
      <c r="F89" s="1" t="n"/>
      <c r="G89" s="1" t="n"/>
    </row>
    <row r="90">
      <c r="A90" s="2" t="n">
        <v>88</v>
      </c>
      <c r="F90" s="1" t="n"/>
      <c r="G90" s="1" t="n"/>
    </row>
    <row r="91">
      <c r="A91" s="2" t="n">
        <v>89</v>
      </c>
      <c r="F91" s="1" t="n"/>
      <c r="G91" s="1" t="n"/>
    </row>
    <row r="92">
      <c r="A92" s="2" t="n">
        <v>90</v>
      </c>
      <c r="F92" s="1" t="n"/>
      <c r="G92" s="1" t="n"/>
    </row>
    <row r="93">
      <c r="A93" s="2" t="n">
        <v>91</v>
      </c>
      <c r="F93" s="1" t="n"/>
      <c r="G93" s="1" t="n"/>
    </row>
    <row r="94">
      <c r="A94" s="2" t="n">
        <v>92</v>
      </c>
      <c r="F94" s="1" t="n"/>
      <c r="G94" s="1" t="n"/>
    </row>
    <row r="95">
      <c r="A95" s="2" t="n">
        <v>93</v>
      </c>
      <c r="F95" s="1" t="n"/>
      <c r="G95" s="1" t="n"/>
    </row>
    <row r="96">
      <c r="A96" s="2" t="n">
        <v>94</v>
      </c>
      <c r="F96" s="1" t="n"/>
      <c r="G96" s="1" t="n"/>
    </row>
    <row r="97">
      <c r="A97" s="2" t="n">
        <v>95</v>
      </c>
      <c r="F97" s="1" t="n"/>
      <c r="G97" s="1" t="n"/>
    </row>
    <row r="98">
      <c r="A98" s="2" t="n">
        <v>96</v>
      </c>
      <c r="F98" s="1" t="n"/>
      <c r="G98" s="1" t="n"/>
    </row>
    <row r="99">
      <c r="A99" s="2" t="n">
        <v>97</v>
      </c>
      <c r="F99" s="1" t="n"/>
      <c r="G99" s="1" t="n"/>
    </row>
    <row r="100">
      <c r="A100" s="2" t="n">
        <v>98</v>
      </c>
      <c r="F100" s="1" t="n"/>
      <c r="G100" s="1" t="n"/>
    </row>
    <row r="101">
      <c r="A101" s="2" t="n">
        <v>99</v>
      </c>
      <c r="F101" s="1" t="n"/>
      <c r="G101" s="1" t="n"/>
    </row>
    <row r="102">
      <c r="A102" s="2" t="n">
        <v>100</v>
      </c>
      <c r="F102" s="1" t="n"/>
      <c r="G102" s="1" t="n"/>
    </row>
    <row r="103">
      <c r="A103" s="2" t="n">
        <v>101</v>
      </c>
      <c r="F103" s="1" t="n"/>
      <c r="G103" s="1" t="n"/>
    </row>
    <row r="104">
      <c r="A104" s="2" t="n">
        <v>102</v>
      </c>
      <c r="F104" s="1" t="n"/>
      <c r="G104" s="1" t="n"/>
    </row>
    <row r="105">
      <c r="A105" s="2" t="n">
        <v>103</v>
      </c>
      <c r="F105" s="1" t="n"/>
      <c r="G105" s="1" t="n"/>
    </row>
    <row r="106">
      <c r="A106" s="2" t="n">
        <v>104</v>
      </c>
      <c r="F106" s="1" t="n"/>
      <c r="G106" s="1" t="n"/>
    </row>
    <row r="107">
      <c r="A107" s="2" t="n">
        <v>105</v>
      </c>
      <c r="F107" s="1" t="n"/>
      <c r="G107" s="1" t="n"/>
    </row>
    <row r="108">
      <c r="A108" s="2" t="n">
        <v>106</v>
      </c>
      <c r="F108" s="1" t="n"/>
      <c r="G108" s="1" t="n"/>
    </row>
    <row r="109">
      <c r="A109" s="2" t="n">
        <v>107</v>
      </c>
      <c r="F109" s="1" t="n"/>
      <c r="G109" s="1" t="n"/>
    </row>
    <row r="110">
      <c r="A110" s="2" t="n">
        <v>108</v>
      </c>
      <c r="F110" s="1" t="n"/>
      <c r="G110" s="1" t="n"/>
    </row>
    <row r="111">
      <c r="A111" s="2" t="n">
        <v>109</v>
      </c>
      <c r="F111" s="1" t="n"/>
      <c r="G111" s="1" t="n"/>
    </row>
    <row r="112">
      <c r="A112" s="2" t="n">
        <v>110</v>
      </c>
      <c r="F112" s="1" t="n"/>
      <c r="G112" s="1" t="n"/>
    </row>
    <row r="113">
      <c r="A113" s="2" t="n">
        <v>111</v>
      </c>
      <c r="F113" s="1" t="n"/>
      <c r="G113" s="1" t="n"/>
    </row>
    <row r="114">
      <c r="A114" s="2" t="n">
        <v>112</v>
      </c>
      <c r="F114" s="1" t="n"/>
      <c r="G114" s="1" t="n"/>
    </row>
    <row r="115">
      <c r="A115" s="2" t="n">
        <v>113</v>
      </c>
      <c r="F115" s="1" t="n"/>
      <c r="G115" s="1" t="n"/>
    </row>
    <row r="116">
      <c r="A116" s="2" t="n">
        <v>114</v>
      </c>
      <c r="F116" s="1" t="n"/>
      <c r="G116" s="1" t="n"/>
    </row>
    <row r="117">
      <c r="A117" s="2" t="n">
        <v>115</v>
      </c>
      <c r="F117" s="1" t="n"/>
      <c r="G117" s="1" t="n"/>
    </row>
    <row r="118">
      <c r="A118" s="2" t="n">
        <v>116</v>
      </c>
      <c r="F118" s="1" t="n"/>
      <c r="G118" s="1" t="n"/>
    </row>
    <row r="119">
      <c r="A119" s="2" t="n">
        <v>117</v>
      </c>
      <c r="F119" s="1" t="n"/>
      <c r="G119" s="1" t="n"/>
    </row>
    <row r="120">
      <c r="A120" s="2" t="n">
        <v>118</v>
      </c>
      <c r="F120" s="1" t="n"/>
      <c r="G120" s="1" t="n"/>
    </row>
    <row r="121">
      <c r="A121" s="2" t="n">
        <v>119</v>
      </c>
      <c r="F121" s="1" t="n"/>
      <c r="G121" s="1" t="n"/>
    </row>
    <row r="122">
      <c r="A122" s="2" t="n">
        <v>120</v>
      </c>
      <c r="F122" s="1" t="n"/>
      <c r="G122" s="1" t="n"/>
    </row>
    <row r="123">
      <c r="A123" s="2" t="n">
        <v>121</v>
      </c>
      <c r="F123" s="1" t="n"/>
      <c r="G123" s="1" t="n"/>
    </row>
    <row r="124">
      <c r="A124" s="2" t="n">
        <v>122</v>
      </c>
      <c r="F124" s="1" t="n"/>
      <c r="G124" s="1" t="n"/>
    </row>
    <row r="125">
      <c r="A125" s="2" t="n">
        <v>123</v>
      </c>
      <c r="F125" s="1" t="n"/>
      <c r="G125" s="1" t="n"/>
    </row>
    <row r="126">
      <c r="A126" s="2" t="n">
        <v>124</v>
      </c>
      <c r="F126" s="1" t="n"/>
      <c r="G126" s="1" t="n"/>
    </row>
    <row r="127">
      <c r="A127" s="2" t="n">
        <v>125</v>
      </c>
      <c r="F127" s="1" t="n"/>
      <c r="G127" s="1" t="n"/>
    </row>
    <row r="128">
      <c r="A128" s="2" t="n">
        <v>126</v>
      </c>
      <c r="F128" s="1" t="n"/>
      <c r="G128" s="1" t="n"/>
    </row>
    <row r="129">
      <c r="A129" s="2" t="n">
        <v>127</v>
      </c>
      <c r="F129" s="1" t="n"/>
      <c r="G129" s="1" t="n"/>
    </row>
    <row r="130">
      <c r="A130" s="2" t="n">
        <v>128</v>
      </c>
      <c r="F130" s="1" t="n"/>
      <c r="G130" s="1" t="n"/>
    </row>
    <row r="131">
      <c r="A131" s="2" t="n">
        <v>129</v>
      </c>
      <c r="F131" s="1" t="n"/>
      <c r="G131" s="1" t="n"/>
    </row>
    <row r="132">
      <c r="A132" s="2" t="n">
        <v>130</v>
      </c>
      <c r="F132" s="1" t="n"/>
      <c r="G132" s="1" t="n"/>
    </row>
    <row r="133">
      <c r="A133" s="2" t="n">
        <v>131</v>
      </c>
      <c r="F133" s="1" t="n"/>
      <c r="G133" s="1" t="n"/>
    </row>
    <row r="134">
      <c r="A134" s="2" t="n">
        <v>132</v>
      </c>
      <c r="F134" s="1" t="n"/>
      <c r="G134" s="1" t="n"/>
    </row>
    <row r="135">
      <c r="A135" s="2" t="n">
        <v>133</v>
      </c>
      <c r="F135" s="1" t="n"/>
      <c r="G135" s="1" t="n"/>
    </row>
    <row r="136">
      <c r="A136" s="2" t="n">
        <v>134</v>
      </c>
      <c r="F136" s="1" t="n"/>
      <c r="G136" s="1" t="n"/>
    </row>
    <row r="137">
      <c r="A137" s="2" t="n">
        <v>135</v>
      </c>
      <c r="F137" s="1" t="n"/>
      <c r="G137" s="1" t="n"/>
    </row>
    <row r="138">
      <c r="A138" s="2" t="n">
        <v>136</v>
      </c>
      <c r="F138" s="1" t="n"/>
      <c r="G138" s="1" t="n"/>
    </row>
    <row r="139">
      <c r="A139" s="2" t="n">
        <v>137</v>
      </c>
      <c r="F139" s="1" t="n"/>
      <c r="G139" s="1" t="n"/>
    </row>
    <row r="140">
      <c r="A140" s="2" t="n">
        <v>138</v>
      </c>
      <c r="F140" s="1" t="n"/>
      <c r="G140" s="1" t="n"/>
    </row>
    <row r="141">
      <c r="A141" s="2" t="n">
        <v>139</v>
      </c>
      <c r="F141" s="1" t="n"/>
      <c r="G141" s="1" t="n"/>
    </row>
    <row r="142">
      <c r="A142" s="2" t="n">
        <v>140</v>
      </c>
      <c r="F142" s="1" t="n"/>
      <c r="G142" s="1" t="n"/>
    </row>
    <row r="143">
      <c r="A143" s="2" t="n">
        <v>141</v>
      </c>
      <c r="F143" s="1" t="n"/>
      <c r="G143" s="1" t="n"/>
    </row>
    <row r="144">
      <c r="A144" s="2" t="n">
        <v>142</v>
      </c>
      <c r="F144" s="1" t="n"/>
      <c r="G144" s="1" t="n"/>
    </row>
    <row r="145">
      <c r="A145" s="2" t="n">
        <v>143</v>
      </c>
      <c r="F145" s="1" t="n"/>
      <c r="G145" s="1" t="n"/>
    </row>
    <row r="146">
      <c r="A146" s="2" t="n">
        <v>144</v>
      </c>
      <c r="F146" s="1" t="n"/>
      <c r="G146" s="1" t="n"/>
    </row>
    <row r="147">
      <c r="A147" s="2" t="n">
        <v>145</v>
      </c>
      <c r="F147" s="1" t="n"/>
      <c r="G147" s="1" t="n"/>
    </row>
    <row r="148">
      <c r="A148" s="2" t="n">
        <v>146</v>
      </c>
      <c r="F148" s="1" t="n"/>
      <c r="G148" s="1" t="n"/>
    </row>
    <row r="149">
      <c r="A149" s="2" t="n">
        <v>147</v>
      </c>
      <c r="F149" s="1" t="n"/>
      <c r="G149" s="1" t="n"/>
    </row>
    <row r="150">
      <c r="A150" s="2" t="n">
        <v>148</v>
      </c>
      <c r="F150" s="1" t="n"/>
      <c r="G150" s="1" t="n"/>
    </row>
    <row r="151">
      <c r="A151" s="2" t="n">
        <v>149</v>
      </c>
      <c r="F151" s="1" t="n"/>
      <c r="G151" s="1" t="n"/>
    </row>
    <row r="152">
      <c r="A152" s="2" t="n">
        <v>150</v>
      </c>
      <c r="F152" s="1" t="n"/>
      <c r="G152" s="1" t="n"/>
    </row>
    <row r="153">
      <c r="A153" s="2" t="n">
        <v>151</v>
      </c>
      <c r="F153" s="1" t="n"/>
      <c r="G153" s="1" t="n"/>
    </row>
    <row r="154">
      <c r="A154" s="2" t="n">
        <v>152</v>
      </c>
      <c r="F154" s="1" t="n"/>
      <c r="G154" s="1" t="n"/>
    </row>
    <row r="155">
      <c r="A155" s="2" t="n">
        <v>153</v>
      </c>
      <c r="F155" s="1" t="n"/>
      <c r="G155" s="1" t="n"/>
    </row>
    <row r="156">
      <c r="A156" s="2" t="n">
        <v>154</v>
      </c>
      <c r="F156" s="1" t="n"/>
      <c r="G156" s="1" t="n"/>
    </row>
    <row r="157">
      <c r="A157" s="2" t="n">
        <v>155</v>
      </c>
      <c r="F157" s="1" t="n"/>
      <c r="G157" s="1" t="n"/>
    </row>
    <row r="158">
      <c r="A158" s="2" t="n">
        <v>156</v>
      </c>
      <c r="F158" s="1" t="n"/>
      <c r="G158" s="1" t="n"/>
    </row>
    <row r="159">
      <c r="A159" s="2" t="n">
        <v>157</v>
      </c>
      <c r="F159" s="1" t="n"/>
      <c r="G159" s="1" t="n"/>
    </row>
    <row r="160">
      <c r="A160" s="2" t="n">
        <v>158</v>
      </c>
      <c r="F160" s="1" t="n"/>
      <c r="G160" s="1" t="n"/>
    </row>
    <row r="161">
      <c r="A161" s="2" t="n">
        <v>159</v>
      </c>
      <c r="F161" s="1" t="n"/>
      <c r="G161" s="1" t="n"/>
    </row>
    <row r="162">
      <c r="A162" s="2" t="n">
        <v>160</v>
      </c>
      <c r="F162" s="1" t="n"/>
      <c r="G162" s="1" t="n"/>
    </row>
    <row r="163">
      <c r="A163" s="2" t="n">
        <v>161</v>
      </c>
      <c r="F163" s="1" t="n"/>
      <c r="G163" s="1" t="n"/>
    </row>
    <row r="164">
      <c r="A164" s="2" t="n">
        <v>162</v>
      </c>
      <c r="F164" s="1" t="n"/>
      <c r="G164" s="1" t="n"/>
    </row>
    <row r="165">
      <c r="A165" s="2" t="n">
        <v>163</v>
      </c>
      <c r="F165" s="1" t="n"/>
      <c r="G165" s="1" t="n"/>
    </row>
    <row r="166">
      <c r="A166" s="2" t="n">
        <v>164</v>
      </c>
      <c r="F166" s="1" t="n"/>
      <c r="G166" s="1" t="n"/>
    </row>
    <row r="167">
      <c r="A167" s="2" t="n">
        <v>165</v>
      </c>
      <c r="F167" s="1" t="n"/>
      <c r="G167" s="1" t="n"/>
    </row>
    <row r="168">
      <c r="A168" s="2" t="n">
        <v>166</v>
      </c>
      <c r="F168" s="1" t="n"/>
      <c r="G168" s="1" t="n"/>
    </row>
    <row r="169">
      <c r="A169" s="2" t="n">
        <v>167</v>
      </c>
      <c r="F169" s="1" t="n"/>
      <c r="G169" s="1" t="n"/>
    </row>
    <row r="170">
      <c r="A170" s="2" t="n">
        <v>168</v>
      </c>
      <c r="F170" s="1" t="n"/>
      <c r="G170" s="1" t="n"/>
    </row>
    <row r="171">
      <c r="A171" s="2" t="n">
        <v>169</v>
      </c>
      <c r="F171" s="1" t="n"/>
      <c r="G171" s="1" t="n"/>
    </row>
    <row r="172">
      <c r="A172" s="2" t="n">
        <v>170</v>
      </c>
      <c r="F172" s="1" t="n"/>
      <c r="G172" s="1" t="n"/>
    </row>
    <row r="173">
      <c r="A173" s="2" t="n">
        <v>171</v>
      </c>
      <c r="F173" s="1" t="n"/>
      <c r="G173" s="1" t="n"/>
    </row>
    <row r="174">
      <c r="A174" s="2" t="n">
        <v>172</v>
      </c>
      <c r="F174" s="1" t="n"/>
      <c r="G174" s="1" t="n"/>
    </row>
    <row r="175">
      <c r="A175" s="2" t="n">
        <v>173</v>
      </c>
      <c r="F175" s="1" t="n"/>
      <c r="G175" s="1" t="n"/>
    </row>
    <row r="176">
      <c r="A176" s="2" t="n">
        <v>174</v>
      </c>
      <c r="F176" s="1" t="n"/>
      <c r="G176" s="1" t="n"/>
    </row>
    <row r="177">
      <c r="A177" s="2" t="n">
        <v>175</v>
      </c>
      <c r="F177" s="1" t="n"/>
      <c r="G177" s="1" t="n"/>
    </row>
    <row r="178">
      <c r="A178" s="2" t="n">
        <v>176</v>
      </c>
      <c r="F178" s="1" t="n"/>
      <c r="G178" s="1" t="n"/>
    </row>
    <row r="179">
      <c r="A179" s="2" t="n">
        <v>177</v>
      </c>
      <c r="F179" s="1" t="n"/>
      <c r="G179" s="1" t="n"/>
    </row>
    <row r="180">
      <c r="A180" s="2" t="n">
        <v>178</v>
      </c>
      <c r="F180" s="1" t="n"/>
      <c r="G180" s="1" t="n"/>
    </row>
    <row r="181">
      <c r="A181" s="2" t="n">
        <v>179</v>
      </c>
      <c r="F181" s="1" t="n"/>
      <c r="G181" s="1" t="n"/>
    </row>
    <row r="182">
      <c r="A182" s="2" t="n">
        <v>180</v>
      </c>
      <c r="F182" s="1" t="n"/>
      <c r="G182" s="1" t="n"/>
    </row>
    <row r="183">
      <c r="A183" s="2" t="n">
        <v>181</v>
      </c>
      <c r="F183" s="1" t="n"/>
      <c r="G183" s="1" t="n"/>
    </row>
    <row r="184">
      <c r="A184" s="2" t="n">
        <v>182</v>
      </c>
      <c r="F184" s="1" t="n"/>
      <c r="G184" s="1" t="n"/>
    </row>
    <row r="185">
      <c r="A185" s="2" t="n">
        <v>183</v>
      </c>
      <c r="F185" s="1" t="n"/>
      <c r="G185" s="1" t="n"/>
    </row>
    <row r="186">
      <c r="A186" s="2" t="n">
        <v>184</v>
      </c>
      <c r="F186" s="1" t="n"/>
      <c r="G186" s="1" t="n"/>
    </row>
    <row r="187">
      <c r="A187" s="2" t="n">
        <v>185</v>
      </c>
      <c r="F187" s="1" t="n"/>
      <c r="G187" s="1" t="n"/>
    </row>
    <row r="188">
      <c r="A188" s="2" t="n">
        <v>186</v>
      </c>
      <c r="F188" s="1" t="n"/>
      <c r="G188" s="1" t="n"/>
    </row>
    <row r="189">
      <c r="A189" s="2" t="n">
        <v>187</v>
      </c>
      <c r="F189" s="1" t="n"/>
      <c r="G189" s="1" t="n"/>
    </row>
    <row r="190">
      <c r="A190" s="2" t="n">
        <v>188</v>
      </c>
      <c r="F190" s="1" t="n"/>
      <c r="G190" s="1" t="n"/>
    </row>
    <row r="191">
      <c r="A191" s="2" t="n">
        <v>189</v>
      </c>
      <c r="F191" s="1" t="n"/>
      <c r="G191" s="1" t="n"/>
    </row>
    <row r="192">
      <c r="A192" s="2" t="n">
        <v>190</v>
      </c>
      <c r="F192" s="1" t="n"/>
      <c r="G192" s="1" t="n"/>
    </row>
    <row r="193">
      <c r="A193" s="2" t="n">
        <v>191</v>
      </c>
      <c r="F193" s="1" t="n"/>
      <c r="G193" s="1" t="n"/>
    </row>
    <row r="194">
      <c r="A194" s="2" t="n">
        <v>192</v>
      </c>
      <c r="F194" s="1" t="n"/>
      <c r="G194" s="1" t="n"/>
    </row>
    <row r="195">
      <c r="A195" s="2" t="n">
        <v>193</v>
      </c>
      <c r="F195" s="1" t="n"/>
      <c r="G195" s="1" t="n"/>
    </row>
    <row r="196">
      <c r="A196" s="2" t="n">
        <v>194</v>
      </c>
      <c r="F196" s="1" t="n"/>
      <c r="G196" s="1" t="n"/>
    </row>
    <row r="197">
      <c r="A197" s="2" t="n">
        <v>195</v>
      </c>
      <c r="F197" s="1" t="n"/>
      <c r="G197" s="1" t="n"/>
    </row>
    <row r="198">
      <c r="A198" s="2" t="n">
        <v>196</v>
      </c>
      <c r="F198" s="1" t="n"/>
      <c r="G198" s="1" t="n"/>
    </row>
    <row r="199">
      <c r="A199" s="2" t="n">
        <v>197</v>
      </c>
      <c r="F199" s="1" t="n"/>
      <c r="G199" s="1" t="n"/>
    </row>
    <row r="200">
      <c r="A200" s="2" t="n">
        <v>198</v>
      </c>
      <c r="F200" s="1" t="n"/>
      <c r="G200" s="1" t="n"/>
    </row>
    <row r="201">
      <c r="A201" s="2" t="n">
        <v>199</v>
      </c>
      <c r="F201" s="1" t="n"/>
      <c r="G201" s="1" t="n"/>
    </row>
    <row r="202">
      <c r="A202" s="2" t="n">
        <v>200</v>
      </c>
      <c r="F202" s="1" t="n"/>
      <c r="G202" s="1" t="n"/>
    </row>
    <row r="203">
      <c r="A203" s="2" t="n">
        <v>201</v>
      </c>
      <c r="F203" s="1" t="n"/>
      <c r="G203" s="1" t="n"/>
    </row>
    <row r="204">
      <c r="A204" s="2" t="n">
        <v>202</v>
      </c>
      <c r="F204" s="1" t="n"/>
      <c r="G204" s="1" t="n"/>
    </row>
    <row r="205">
      <c r="A205" s="2" t="n">
        <v>203</v>
      </c>
      <c r="F205" s="1" t="n"/>
      <c r="G205" s="1" t="n"/>
    </row>
    <row r="206">
      <c r="A206" s="2" t="n">
        <v>204</v>
      </c>
      <c r="F206" s="1" t="n"/>
      <c r="G206" s="1" t="n"/>
    </row>
    <row r="207">
      <c r="A207" s="2" t="n">
        <v>205</v>
      </c>
      <c r="F207" s="1" t="n"/>
      <c r="G207" s="1" t="n"/>
    </row>
    <row r="208">
      <c r="A208" s="2" t="n">
        <v>206</v>
      </c>
      <c r="F208" s="1" t="n"/>
      <c r="G208" s="1" t="n"/>
    </row>
    <row r="209">
      <c r="A209" s="2" t="n">
        <v>207</v>
      </c>
      <c r="F209" s="1" t="n"/>
      <c r="G209" s="1" t="n"/>
    </row>
    <row r="210">
      <c r="A210" s="2" t="n">
        <v>208</v>
      </c>
      <c r="F210" s="1" t="n"/>
      <c r="G210" s="1" t="n"/>
    </row>
    <row r="211">
      <c r="A211" s="2" t="n">
        <v>209</v>
      </c>
      <c r="F211" s="1" t="n"/>
      <c r="G211" s="1" t="n"/>
    </row>
    <row r="212">
      <c r="A212" s="2" t="n">
        <v>210</v>
      </c>
      <c r="F212" s="1" t="n"/>
      <c r="G212" s="1" t="n"/>
    </row>
    <row r="213">
      <c r="A213" s="2" t="n">
        <v>211</v>
      </c>
      <c r="F213" s="1" t="n"/>
      <c r="G213" s="1" t="n"/>
    </row>
    <row r="214">
      <c r="A214" s="2" t="n">
        <v>212</v>
      </c>
      <c r="F214" s="1" t="n"/>
      <c r="G214" s="1" t="n"/>
    </row>
    <row r="215">
      <c r="A215" s="2" t="n">
        <v>213</v>
      </c>
      <c r="F215" s="1" t="n"/>
      <c r="G215" s="1" t="n"/>
    </row>
    <row r="216">
      <c r="A216" s="2" t="n">
        <v>214</v>
      </c>
      <c r="F216" s="1" t="n"/>
      <c r="G216" s="1" t="n"/>
    </row>
    <row r="217">
      <c r="A217" s="2" t="n">
        <v>215</v>
      </c>
      <c r="F217" s="1" t="n"/>
      <c r="G217" s="1" t="n"/>
    </row>
    <row r="218">
      <c r="A218" s="2" t="n">
        <v>216</v>
      </c>
      <c r="F218" s="1" t="n"/>
      <c r="G218" s="1" t="n"/>
    </row>
    <row r="219">
      <c r="A219" s="2" t="n">
        <v>217</v>
      </c>
      <c r="F219" s="1" t="n"/>
      <c r="G219" s="1" t="n"/>
    </row>
    <row r="220">
      <c r="A220" s="2" t="n">
        <v>218</v>
      </c>
      <c r="F220" s="1" t="n"/>
      <c r="G220" s="1" t="n"/>
    </row>
    <row r="221">
      <c r="A221" s="2" t="n">
        <v>219</v>
      </c>
      <c r="F221" s="1" t="n"/>
      <c r="G221" s="1" t="n"/>
    </row>
    <row r="222">
      <c r="A222" s="2" t="n">
        <v>220</v>
      </c>
      <c r="F222" s="1" t="n"/>
      <c r="G222" s="1" t="n"/>
    </row>
    <row r="223">
      <c r="A223" s="2" t="n">
        <v>221</v>
      </c>
      <c r="F223" s="1" t="n"/>
      <c r="G223" s="1" t="n"/>
    </row>
    <row r="224">
      <c r="A224" s="2" t="n">
        <v>222</v>
      </c>
      <c r="F224" s="1" t="n"/>
      <c r="G224" s="1" t="n"/>
    </row>
    <row r="225">
      <c r="A225" s="2" t="n">
        <v>223</v>
      </c>
      <c r="F225" s="1" t="n"/>
      <c r="G225" s="1" t="n"/>
    </row>
    <row r="226">
      <c r="A226" s="2" t="n">
        <v>224</v>
      </c>
      <c r="F226" s="1" t="n"/>
      <c r="G226" s="1" t="n"/>
    </row>
    <row r="227">
      <c r="A227" s="2" t="n">
        <v>225</v>
      </c>
      <c r="F227" s="1" t="n"/>
      <c r="G227" s="1" t="n"/>
    </row>
    <row r="228">
      <c r="A228" s="2" t="n">
        <v>226</v>
      </c>
      <c r="F228" s="1" t="n"/>
      <c r="G228" s="1" t="n"/>
    </row>
    <row r="229">
      <c r="A229" s="2" t="n">
        <v>227</v>
      </c>
      <c r="F229" s="1" t="n"/>
      <c r="G229" s="1" t="n"/>
    </row>
    <row r="230">
      <c r="A230" s="2" t="n">
        <v>228</v>
      </c>
      <c r="F230" s="1" t="n"/>
      <c r="G230" s="1" t="n"/>
    </row>
    <row r="231">
      <c r="A231" s="2" t="n">
        <v>229</v>
      </c>
      <c r="F231" s="1" t="n"/>
      <c r="G231" s="1" t="n"/>
    </row>
    <row r="232">
      <c r="A232" s="2" t="n">
        <v>230</v>
      </c>
      <c r="F232" s="1" t="n"/>
      <c r="G232" s="1" t="n"/>
    </row>
    <row r="233">
      <c r="A233" s="2" t="n">
        <v>231</v>
      </c>
      <c r="F233" s="1" t="n"/>
      <c r="G233" s="1" t="n"/>
    </row>
    <row r="234">
      <c r="A234" s="2" t="n">
        <v>232</v>
      </c>
      <c r="F234" s="1" t="n"/>
      <c r="G234" s="1" t="n"/>
    </row>
    <row r="235">
      <c r="A235" s="2" t="n">
        <v>233</v>
      </c>
      <c r="F235" s="1" t="n"/>
      <c r="G235" s="1" t="n"/>
    </row>
    <row r="236">
      <c r="A236" s="2" t="n">
        <v>234</v>
      </c>
      <c r="F236" s="1" t="n"/>
      <c r="G236" s="1" t="n"/>
    </row>
    <row r="237">
      <c r="A237" s="2" t="n">
        <v>235</v>
      </c>
      <c r="F237" s="1" t="n"/>
      <c r="G237" s="1" t="n"/>
    </row>
    <row r="238">
      <c r="A238" s="2" t="n">
        <v>236</v>
      </c>
      <c r="F238" s="1" t="n"/>
      <c r="G238" s="1" t="n"/>
    </row>
    <row r="239">
      <c r="A239" s="2" t="n">
        <v>237</v>
      </c>
      <c r="F239" s="1" t="n"/>
      <c r="G239" s="1" t="n"/>
    </row>
    <row r="240">
      <c r="A240" s="2" t="n">
        <v>238</v>
      </c>
      <c r="F240" s="1" t="n"/>
      <c r="G240" s="1" t="n"/>
    </row>
    <row r="241">
      <c r="A241" s="2" t="n">
        <v>239</v>
      </c>
      <c r="F241" s="1" t="n"/>
      <c r="G241" s="1" t="n"/>
    </row>
    <row r="242">
      <c r="A242" s="2" t="n">
        <v>240</v>
      </c>
      <c r="F242" s="1" t="n"/>
      <c r="G242" s="1" t="n"/>
    </row>
    <row r="243">
      <c r="A243" s="2" t="n">
        <v>241</v>
      </c>
      <c r="F243" s="1" t="n"/>
      <c r="G243" s="1" t="n"/>
    </row>
    <row r="244">
      <c r="A244" s="2" t="n">
        <v>242</v>
      </c>
      <c r="F244" s="1" t="n"/>
      <c r="G244" s="1" t="n"/>
    </row>
    <row r="245">
      <c r="A245" s="2" t="n">
        <v>243</v>
      </c>
      <c r="F245" s="1" t="n"/>
      <c r="G245" s="1" t="n"/>
    </row>
    <row r="246">
      <c r="A246" s="2" t="n">
        <v>244</v>
      </c>
      <c r="F246" s="1" t="n"/>
      <c r="G246" s="1" t="n"/>
    </row>
    <row r="247">
      <c r="A247" s="2" t="n">
        <v>245</v>
      </c>
      <c r="F247" s="1" t="n"/>
      <c r="G247" s="1" t="n"/>
    </row>
    <row r="248">
      <c r="A248" s="2" t="n">
        <v>246</v>
      </c>
      <c r="F248" s="1" t="n"/>
      <c r="G248" s="1" t="n"/>
    </row>
    <row r="249">
      <c r="A249" s="2" t="n">
        <v>247</v>
      </c>
      <c r="F249" s="1" t="n"/>
      <c r="G249" s="1" t="n"/>
    </row>
    <row r="250">
      <c r="A250" s="2" t="n">
        <v>248</v>
      </c>
      <c r="F250" s="1" t="n"/>
      <c r="G250" s="1" t="n"/>
    </row>
    <row r="251">
      <c r="A251" s="2" t="n">
        <v>249</v>
      </c>
      <c r="F251" s="1" t="n"/>
      <c r="G251" s="1" t="n"/>
    </row>
    <row r="252">
      <c r="A252" s="2" t="n">
        <v>250</v>
      </c>
      <c r="F252" s="1" t="n"/>
      <c r="G252" s="1" t="n"/>
    </row>
    <row r="253">
      <c r="A253" s="2" t="n">
        <v>251</v>
      </c>
      <c r="F253" s="1" t="n"/>
      <c r="G253" s="1" t="n"/>
    </row>
    <row r="254">
      <c r="A254" s="2" t="n">
        <v>252</v>
      </c>
      <c r="F254" s="1" t="n"/>
      <c r="G254" s="1" t="n"/>
    </row>
    <row r="255">
      <c r="A255" s="2" t="n">
        <v>253</v>
      </c>
      <c r="F255" s="1" t="n"/>
      <c r="G255" s="1" t="n"/>
    </row>
    <row r="256">
      <c r="A256" s="2" t="n">
        <v>254</v>
      </c>
      <c r="F256" s="1" t="n"/>
      <c r="G256" s="1" t="n"/>
    </row>
    <row r="257">
      <c r="A257" s="2" t="n">
        <v>255</v>
      </c>
      <c r="F257" s="1" t="n"/>
      <c r="G257" s="1" t="n"/>
    </row>
    <row r="258">
      <c r="A258" s="2" t="n">
        <v>256</v>
      </c>
      <c r="F258" s="1" t="n"/>
      <c r="G258" s="1" t="n"/>
    </row>
    <row r="259">
      <c r="A259" s="2" t="n">
        <v>257</v>
      </c>
      <c r="F259" s="1" t="n"/>
      <c r="G259" s="1" t="n"/>
    </row>
    <row r="260">
      <c r="A260" s="2" t="n">
        <v>258</v>
      </c>
      <c r="F260" s="1" t="n"/>
      <c r="G260" s="1" t="n"/>
    </row>
    <row r="261">
      <c r="A261" s="2" t="n">
        <v>259</v>
      </c>
      <c r="F261" s="1" t="n"/>
      <c r="G261" s="1" t="n"/>
    </row>
    <row r="262">
      <c r="A262" s="2" t="n">
        <v>260</v>
      </c>
      <c r="F262" s="1" t="n"/>
      <c r="G262" s="1" t="n"/>
    </row>
    <row r="263">
      <c r="A263" s="2" t="n">
        <v>261</v>
      </c>
      <c r="F263" s="1" t="n"/>
      <c r="G263" s="1" t="n"/>
    </row>
    <row r="264">
      <c r="A264" s="2" t="n">
        <v>262</v>
      </c>
      <c r="F264" s="1" t="n"/>
      <c r="G264" s="1" t="n"/>
    </row>
    <row r="265">
      <c r="A265" s="2" t="n">
        <v>263</v>
      </c>
      <c r="F265" s="1" t="n"/>
      <c r="G265" s="1" t="n"/>
    </row>
    <row r="266">
      <c r="A266" s="2" t="n">
        <v>264</v>
      </c>
      <c r="F266" s="1" t="n"/>
      <c r="G266" s="1" t="n"/>
    </row>
    <row r="267">
      <c r="A267" s="2" t="n">
        <v>265</v>
      </c>
      <c r="F267" s="1" t="n"/>
      <c r="G267" s="1" t="n"/>
    </row>
    <row r="268">
      <c r="A268" s="2" t="n">
        <v>266</v>
      </c>
      <c r="F268" s="1" t="n"/>
      <c r="G268" s="1" t="n"/>
    </row>
    <row r="269">
      <c r="A269" s="2" t="n">
        <v>267</v>
      </c>
      <c r="F269" s="1" t="n"/>
      <c r="G269" s="1" t="n"/>
    </row>
    <row r="270">
      <c r="A270" s="2" t="n">
        <v>268</v>
      </c>
      <c r="F270" s="1" t="n"/>
      <c r="G270" s="1" t="n"/>
    </row>
    <row r="271">
      <c r="A271" s="2" t="n">
        <v>269</v>
      </c>
      <c r="F271" s="1" t="n"/>
      <c r="G271" s="1" t="n"/>
    </row>
    <row r="272">
      <c r="A272" s="2" t="n">
        <v>270</v>
      </c>
      <c r="F272" s="1" t="n"/>
      <c r="G272" s="1" t="n"/>
    </row>
    <row r="273">
      <c r="A273" s="2" t="n">
        <v>271</v>
      </c>
      <c r="F273" s="1" t="n"/>
      <c r="G273" s="1" t="n"/>
    </row>
    <row r="274">
      <c r="A274" s="2" t="n">
        <v>272</v>
      </c>
      <c r="F274" s="1" t="n"/>
      <c r="G274" s="1" t="n"/>
    </row>
    <row r="275">
      <c r="A275" s="2" t="n">
        <v>273</v>
      </c>
      <c r="F275" s="1" t="n"/>
      <c r="G275" s="1" t="n"/>
    </row>
    <row r="276">
      <c r="A276" s="2" t="n">
        <v>274</v>
      </c>
      <c r="F276" s="1" t="n"/>
      <c r="G276" s="1" t="n"/>
    </row>
    <row r="277">
      <c r="A277" s="2" t="n">
        <v>275</v>
      </c>
      <c r="F277" s="1" t="n"/>
      <c r="G277" s="1" t="n"/>
    </row>
    <row r="278">
      <c r="A278" s="2" t="n">
        <v>276</v>
      </c>
      <c r="F278" s="1" t="n"/>
      <c r="G278" s="1" t="n"/>
    </row>
    <row r="279">
      <c r="A279" s="2" t="n">
        <v>277</v>
      </c>
      <c r="F279" s="1" t="n"/>
      <c r="G279" s="1" t="n"/>
    </row>
    <row r="280">
      <c r="A280" s="2" t="n">
        <v>278</v>
      </c>
      <c r="F280" s="1" t="n"/>
      <c r="G280" s="1" t="n"/>
    </row>
    <row r="281">
      <c r="A281" s="2" t="n">
        <v>279</v>
      </c>
      <c r="F281" s="1" t="n"/>
      <c r="G281" s="1" t="n"/>
    </row>
    <row r="282">
      <c r="A282" s="2" t="n">
        <v>280</v>
      </c>
      <c r="F282" s="1" t="n"/>
      <c r="G282" s="1" t="n"/>
    </row>
    <row r="283">
      <c r="A283" s="2" t="n">
        <v>281</v>
      </c>
      <c r="F283" s="1" t="n"/>
      <c r="G283" s="1" t="n"/>
    </row>
    <row r="284">
      <c r="A284" s="2" t="n">
        <v>282</v>
      </c>
      <c r="F284" s="1" t="n"/>
      <c r="G284" s="1" t="n"/>
    </row>
    <row r="285">
      <c r="A285" s="2" t="n">
        <v>283</v>
      </c>
      <c r="F285" s="1" t="n"/>
      <c r="G285" s="1" t="n"/>
    </row>
    <row r="286">
      <c r="A286" s="2" t="n">
        <v>284</v>
      </c>
      <c r="F286" s="1" t="n"/>
      <c r="G286" s="1" t="n"/>
    </row>
    <row r="287">
      <c r="A287" s="2" t="n">
        <v>285</v>
      </c>
      <c r="F287" s="1" t="n"/>
      <c r="G287" s="1" t="n"/>
    </row>
    <row r="288">
      <c r="A288" s="2" t="n">
        <v>286</v>
      </c>
      <c r="F288" s="1" t="n"/>
      <c r="G288" s="1" t="n"/>
    </row>
    <row r="289">
      <c r="A289" s="2" t="n">
        <v>287</v>
      </c>
      <c r="F289" s="1" t="n"/>
      <c r="G289" s="1" t="n"/>
    </row>
    <row r="290">
      <c r="A290" s="2" t="n">
        <v>288</v>
      </c>
      <c r="F290" s="1" t="n"/>
      <c r="G290" s="1" t="n"/>
    </row>
    <row r="291">
      <c r="A291" s="2" t="n">
        <v>289</v>
      </c>
      <c r="F291" s="1" t="n"/>
      <c r="G291" s="1" t="n"/>
    </row>
    <row r="292">
      <c r="A292" s="2" t="n">
        <v>290</v>
      </c>
      <c r="F292" s="1" t="n"/>
      <c r="G292" s="1" t="n"/>
    </row>
    <row r="293">
      <c r="A293" s="2" t="n">
        <v>291</v>
      </c>
      <c r="F293" s="1" t="n"/>
      <c r="G293" s="1" t="n"/>
    </row>
    <row r="294">
      <c r="A294" s="2" t="n">
        <v>292</v>
      </c>
      <c r="F294" s="1" t="n"/>
      <c r="G294" s="1" t="n"/>
    </row>
    <row r="295">
      <c r="A295" s="2" t="n">
        <v>293</v>
      </c>
      <c r="F295" s="1" t="n"/>
      <c r="G295" s="1" t="n"/>
    </row>
    <row r="296">
      <c r="A296" s="2" t="n">
        <v>294</v>
      </c>
      <c r="F296" s="1" t="n"/>
      <c r="G296" s="1" t="n"/>
    </row>
    <row r="297">
      <c r="A297" s="2" t="n">
        <v>295</v>
      </c>
      <c r="F297" s="1" t="n"/>
      <c r="G297" s="1" t="n"/>
    </row>
    <row r="298">
      <c r="A298" s="2" t="n">
        <v>296</v>
      </c>
      <c r="F298" s="1" t="n"/>
      <c r="G298" s="1" t="n"/>
    </row>
    <row r="299">
      <c r="A299" s="2" t="n">
        <v>297</v>
      </c>
      <c r="F299" s="1" t="n"/>
      <c r="G299" s="1" t="n"/>
    </row>
    <row r="300">
      <c r="A300" s="2" t="n">
        <v>298</v>
      </c>
      <c r="F300" s="1" t="n"/>
      <c r="G300" s="1" t="n"/>
    </row>
    <row r="301">
      <c r="A301" s="2" t="n">
        <v>299</v>
      </c>
      <c r="F301" s="1" t="n"/>
      <c r="G301" s="1" t="n"/>
    </row>
    <row r="302">
      <c r="A302" s="2" t="n">
        <v>300</v>
      </c>
      <c r="F302" s="1" t="n"/>
      <c r="G302" s="1" t="n"/>
    </row>
    <row r="303">
      <c r="A303" s="2" t="n">
        <v>301</v>
      </c>
      <c r="F303" s="1" t="n"/>
      <c r="G303" s="1" t="n"/>
    </row>
    <row r="304">
      <c r="A304" s="2" t="n">
        <v>302</v>
      </c>
      <c r="F304" s="1" t="n"/>
      <c r="G304" s="1" t="n"/>
    </row>
    <row r="305">
      <c r="A305" s="2" t="n">
        <v>303</v>
      </c>
      <c r="F305" s="1" t="n"/>
      <c r="G305" s="1" t="n"/>
    </row>
    <row r="306">
      <c r="A306" s="2" t="n">
        <v>304</v>
      </c>
      <c r="F306" s="1" t="n"/>
      <c r="G306" s="1" t="n"/>
    </row>
    <row r="307">
      <c r="A307" s="2" t="n">
        <v>305</v>
      </c>
      <c r="F307" s="1" t="n"/>
      <c r="G307" s="1" t="n"/>
    </row>
    <row r="308">
      <c r="A308" s="2" t="n">
        <v>306</v>
      </c>
      <c r="F308" s="1" t="n"/>
      <c r="G308" s="1" t="n"/>
    </row>
    <row r="309">
      <c r="A309" s="2" t="n">
        <v>307</v>
      </c>
      <c r="F309" s="1" t="n"/>
      <c r="G309" s="1" t="n"/>
    </row>
    <row r="310">
      <c r="A310" s="2" t="n">
        <v>308</v>
      </c>
      <c r="F310" s="1" t="n"/>
      <c r="G310" s="1" t="n"/>
    </row>
    <row r="311">
      <c r="A311" s="2" t="n">
        <v>309</v>
      </c>
      <c r="F311" s="1" t="n"/>
      <c r="G311" s="1" t="n"/>
    </row>
    <row r="312">
      <c r="A312" s="2" t="n">
        <v>310</v>
      </c>
      <c r="F312" s="1" t="n"/>
      <c r="G312" s="1" t="n"/>
    </row>
    <row r="313">
      <c r="A313" s="2" t="n">
        <v>311</v>
      </c>
      <c r="F313" s="1" t="n"/>
      <c r="G313" s="1" t="n"/>
    </row>
    <row r="314">
      <c r="A314" s="2" t="n">
        <v>312</v>
      </c>
      <c r="F314" s="1" t="n"/>
      <c r="G314" s="1" t="n"/>
    </row>
    <row r="315">
      <c r="A315" s="2" t="n">
        <v>313</v>
      </c>
      <c r="F315" s="1" t="n"/>
      <c r="G315" s="1" t="n"/>
    </row>
    <row r="316">
      <c r="A316" s="2" t="n">
        <v>314</v>
      </c>
      <c r="F316" s="1" t="n"/>
      <c r="G316" s="1" t="n"/>
    </row>
    <row r="317">
      <c r="A317" s="2" t="n">
        <v>315</v>
      </c>
      <c r="F317" s="1" t="n"/>
      <c r="G317" s="1" t="n"/>
    </row>
    <row r="318">
      <c r="A318" s="2" t="n">
        <v>316</v>
      </c>
      <c r="F318" s="1" t="n"/>
      <c r="G318" s="1" t="n"/>
    </row>
    <row r="319">
      <c r="A319" s="2" t="n">
        <v>317</v>
      </c>
      <c r="F319" s="1" t="n"/>
      <c r="G319" s="1" t="n"/>
    </row>
    <row r="320">
      <c r="A320" s="2" t="n">
        <v>318</v>
      </c>
      <c r="F320" s="1" t="n"/>
      <c r="G320" s="1" t="n"/>
    </row>
    <row r="321">
      <c r="A321" s="2" t="n">
        <v>319</v>
      </c>
      <c r="F321" s="1" t="n"/>
      <c r="G321" s="1" t="n"/>
    </row>
    <row r="322">
      <c r="A322" s="2" t="n">
        <v>320</v>
      </c>
      <c r="F322" s="1" t="n"/>
      <c r="G322" s="1" t="n"/>
    </row>
    <row r="323">
      <c r="A323" s="2" t="n">
        <v>321</v>
      </c>
      <c r="F323" s="1" t="n"/>
      <c r="G323" s="1" t="n"/>
    </row>
    <row r="324">
      <c r="A324" s="2" t="n">
        <v>322</v>
      </c>
      <c r="F324" s="1" t="n"/>
      <c r="G324" s="1" t="n"/>
    </row>
    <row r="325">
      <c r="A325" s="2" t="n">
        <v>323</v>
      </c>
      <c r="F325" s="1" t="n"/>
      <c r="G325" s="1" t="n"/>
    </row>
    <row r="326">
      <c r="A326" s="2" t="n">
        <v>324</v>
      </c>
      <c r="F326" s="1" t="n"/>
      <c r="G326" s="1" t="n"/>
    </row>
    <row r="327">
      <c r="A327" s="2" t="n">
        <v>325</v>
      </c>
      <c r="F327" s="1" t="n"/>
      <c r="G327" s="1" t="n"/>
    </row>
    <row r="328">
      <c r="A328" s="2" t="n">
        <v>326</v>
      </c>
      <c r="F328" s="1" t="n"/>
      <c r="G328" s="1" t="n"/>
    </row>
    <row r="329">
      <c r="A329" s="2" t="n">
        <v>327</v>
      </c>
      <c r="F329" s="1" t="n"/>
      <c r="G329" s="1" t="n"/>
    </row>
    <row r="330">
      <c r="A330" s="2" t="n">
        <v>328</v>
      </c>
      <c r="F330" s="1" t="n"/>
      <c r="G330" s="1" t="n"/>
    </row>
    <row r="331">
      <c r="A331" s="2" t="n">
        <v>329</v>
      </c>
      <c r="F331" s="1" t="n"/>
      <c r="G331" s="1" t="n"/>
    </row>
    <row r="332">
      <c r="A332" s="2" t="n">
        <v>330</v>
      </c>
      <c r="F332" s="1" t="n"/>
      <c r="G332" s="1" t="n"/>
    </row>
    <row r="333">
      <c r="A333" s="2" t="n">
        <v>331</v>
      </c>
      <c r="F333" s="1" t="n"/>
      <c r="G333" s="1" t="n"/>
    </row>
    <row r="334">
      <c r="A334" s="2" t="n">
        <v>332</v>
      </c>
      <c r="F334" s="1" t="n"/>
      <c r="G334" s="1" t="n"/>
    </row>
    <row r="335">
      <c r="A335" s="2" t="n">
        <v>333</v>
      </c>
      <c r="F335" s="1" t="n"/>
      <c r="G335" s="1" t="n"/>
    </row>
    <row r="336">
      <c r="A336" s="2" t="n">
        <v>334</v>
      </c>
      <c r="F336" s="1" t="n"/>
      <c r="G336" s="1" t="n"/>
    </row>
    <row r="337">
      <c r="A337" s="2" t="n">
        <v>335</v>
      </c>
      <c r="F337" s="1" t="n"/>
      <c r="G337" s="1" t="n"/>
    </row>
    <row r="338">
      <c r="A338" s="2" t="n">
        <v>336</v>
      </c>
      <c r="F338" s="1" t="n"/>
      <c r="G338" s="1" t="n"/>
    </row>
    <row r="339">
      <c r="A339" s="2" t="n">
        <v>337</v>
      </c>
      <c r="F339" s="1" t="n"/>
      <c r="G339" s="1" t="n"/>
    </row>
    <row r="340">
      <c r="A340" s="2" t="n">
        <v>338</v>
      </c>
      <c r="F340" s="1" t="n"/>
      <c r="G340" s="1" t="n"/>
    </row>
    <row r="341">
      <c r="A341" s="2" t="n">
        <v>339</v>
      </c>
      <c r="F341" s="1" t="n"/>
      <c r="G341" s="1" t="n"/>
    </row>
    <row r="342">
      <c r="A342" s="2" t="n">
        <v>340</v>
      </c>
      <c r="F342" s="1" t="n"/>
      <c r="G342" s="1" t="n"/>
    </row>
    <row r="343">
      <c r="A343" s="2" t="n">
        <v>341</v>
      </c>
      <c r="F343" s="1" t="n"/>
      <c r="G343" s="1" t="n"/>
    </row>
    <row r="344">
      <c r="A344" s="2" t="n">
        <v>342</v>
      </c>
      <c r="F344" s="1" t="n"/>
      <c r="G344" s="1" t="n"/>
    </row>
    <row r="345">
      <c r="A345" s="2" t="n">
        <v>343</v>
      </c>
      <c r="F345" s="1" t="n"/>
      <c r="G345" s="1" t="n"/>
    </row>
    <row r="346">
      <c r="A346" s="2" t="n">
        <v>344</v>
      </c>
      <c r="F346" s="1" t="n"/>
      <c r="G346" s="1" t="n"/>
    </row>
    <row r="347">
      <c r="A347" s="2" t="n">
        <v>345</v>
      </c>
      <c r="F347" s="1" t="n"/>
      <c r="G347" s="1" t="n"/>
    </row>
    <row r="348">
      <c r="A348" s="2" t="n">
        <v>346</v>
      </c>
      <c r="F348" s="1" t="n"/>
      <c r="G348" s="1" t="n"/>
    </row>
    <row r="349">
      <c r="A349" s="2" t="n">
        <v>347</v>
      </c>
      <c r="F349" s="1" t="n"/>
      <c r="G349" s="1" t="n"/>
    </row>
    <row r="350">
      <c r="A350" s="2" t="n">
        <v>348</v>
      </c>
      <c r="F350" s="1" t="n"/>
      <c r="G350" s="1" t="n"/>
    </row>
    <row r="351">
      <c r="A351" s="2" t="n">
        <v>349</v>
      </c>
      <c r="F351" s="1" t="n"/>
      <c r="G351" s="1" t="n"/>
    </row>
    <row r="352">
      <c r="A352" s="2" t="n">
        <v>350</v>
      </c>
      <c r="F352" s="1" t="n"/>
      <c r="G352" s="1" t="n"/>
    </row>
    <row r="353">
      <c r="A353" s="2" t="n">
        <v>351</v>
      </c>
      <c r="F353" s="1" t="n"/>
      <c r="G353" s="1" t="n"/>
    </row>
    <row r="354">
      <c r="A354" s="2" t="n">
        <v>352</v>
      </c>
      <c r="F354" s="1" t="n"/>
      <c r="G354" s="1" t="n"/>
    </row>
    <row r="355">
      <c r="A355" s="2" t="n">
        <v>353</v>
      </c>
      <c r="F355" s="1" t="n"/>
      <c r="G355" s="1" t="n"/>
    </row>
    <row r="356">
      <c r="A356" s="2" t="n">
        <v>354</v>
      </c>
      <c r="F356" s="1" t="n"/>
      <c r="G356" s="1" t="n"/>
    </row>
    <row r="357">
      <c r="A357" s="2" t="n">
        <v>355</v>
      </c>
      <c r="F357" s="1" t="n"/>
      <c r="G357" s="1" t="n"/>
    </row>
    <row r="358">
      <c r="A358" s="2" t="n">
        <v>356</v>
      </c>
      <c r="F358" s="1" t="n"/>
      <c r="G358" s="1" t="n"/>
    </row>
    <row r="359">
      <c r="A359" s="2" t="n">
        <v>357</v>
      </c>
      <c r="F359" s="1" t="n"/>
      <c r="G359" s="1" t="n"/>
    </row>
    <row r="360">
      <c r="A360" s="2" t="n">
        <v>358</v>
      </c>
      <c r="F360" s="1" t="n"/>
      <c r="G360" s="1" t="n"/>
    </row>
    <row r="361">
      <c r="A361" s="2" t="n">
        <v>359</v>
      </c>
      <c r="F361" s="1" t="n"/>
      <c r="G361" s="1" t="n"/>
    </row>
    <row r="362">
      <c r="A362" s="2" t="n">
        <v>360</v>
      </c>
      <c r="F362" s="1" t="n"/>
      <c r="G362" s="1" t="n"/>
    </row>
    <row r="363">
      <c r="A363" s="2" t="n">
        <v>361</v>
      </c>
      <c r="F363" s="1" t="n"/>
      <c r="G363" s="1" t="n"/>
    </row>
    <row r="364">
      <c r="A364" s="2" t="n">
        <v>362</v>
      </c>
      <c r="F364" s="1" t="n"/>
      <c r="G364" s="1" t="n"/>
    </row>
    <row r="365">
      <c r="A365" s="2" t="n">
        <v>363</v>
      </c>
      <c r="F365" s="1" t="n"/>
      <c r="G365" s="1" t="n"/>
    </row>
    <row r="366">
      <c r="A366" s="2" t="n">
        <v>364</v>
      </c>
      <c r="F366" s="1" t="n"/>
      <c r="G366" s="1" t="n"/>
    </row>
    <row r="367">
      <c r="A367" s="2" t="n">
        <v>365</v>
      </c>
      <c r="F367" s="1" t="n"/>
      <c r="G367" s="1" t="n"/>
    </row>
    <row r="368">
      <c r="A368" s="2" t="n">
        <v>366</v>
      </c>
      <c r="F368" s="1" t="n"/>
      <c r="G368" s="1" t="n"/>
    </row>
    <row r="369">
      <c r="A369" s="2" t="n">
        <v>367</v>
      </c>
      <c r="F369" s="1" t="n"/>
      <c r="G369" s="1" t="n"/>
    </row>
    <row r="370">
      <c r="A370" s="2" t="n">
        <v>368</v>
      </c>
      <c r="F370" s="1" t="n"/>
      <c r="G370" s="1" t="n"/>
    </row>
    <row r="371">
      <c r="A371" s="2" t="n">
        <v>369</v>
      </c>
      <c r="F371" s="1" t="n"/>
      <c r="G371" s="1" t="n"/>
    </row>
    <row r="372">
      <c r="A372" s="2" t="n">
        <v>370</v>
      </c>
      <c r="F372" s="1" t="n"/>
      <c r="G372" s="1" t="n"/>
    </row>
    <row r="373">
      <c r="A373" s="2" t="n">
        <v>371</v>
      </c>
      <c r="F373" s="1" t="n"/>
      <c r="G373" s="1" t="n"/>
    </row>
    <row r="374">
      <c r="A374" s="2" t="n">
        <v>372</v>
      </c>
      <c r="F374" s="1" t="n"/>
      <c r="G374" s="1" t="n"/>
    </row>
    <row r="375">
      <c r="A375" s="2" t="n">
        <v>373</v>
      </c>
      <c r="F375" s="1" t="n"/>
      <c r="G375" s="1" t="n"/>
    </row>
    <row r="376">
      <c r="A376" s="2" t="n">
        <v>374</v>
      </c>
      <c r="F376" s="1" t="n"/>
      <c r="G376" s="1" t="n"/>
    </row>
    <row r="377">
      <c r="A377" s="2" t="n">
        <v>375</v>
      </c>
      <c r="F377" s="1" t="n"/>
      <c r="G377" s="1" t="n"/>
    </row>
    <row r="378">
      <c r="A378" s="2" t="n">
        <v>376</v>
      </c>
      <c r="F378" s="1" t="n"/>
      <c r="G378" s="1" t="n"/>
    </row>
    <row r="379">
      <c r="A379" s="2" t="n">
        <v>377</v>
      </c>
      <c r="F379" s="1" t="n"/>
      <c r="G379" s="1" t="n"/>
    </row>
    <row r="380">
      <c r="A380" s="2" t="n">
        <v>378</v>
      </c>
      <c r="F380" s="1" t="n"/>
      <c r="G380" s="1" t="n"/>
    </row>
    <row r="381">
      <c r="A381" s="2" t="n">
        <v>379</v>
      </c>
      <c r="F381" s="1" t="n"/>
      <c r="G381" s="1" t="n"/>
    </row>
    <row r="382">
      <c r="A382" s="2" t="n">
        <v>380</v>
      </c>
      <c r="F382" s="1" t="n"/>
      <c r="G382" s="1" t="n"/>
    </row>
    <row r="383">
      <c r="A383" s="2" t="n">
        <v>381</v>
      </c>
      <c r="F383" s="1" t="n"/>
      <c r="G383" s="1" t="n"/>
    </row>
    <row r="384">
      <c r="A384" s="2" t="n">
        <v>382</v>
      </c>
      <c r="F384" s="1" t="n"/>
      <c r="G384" s="1" t="n"/>
    </row>
    <row r="385">
      <c r="A385" s="2" t="n">
        <v>383</v>
      </c>
      <c r="F385" s="1" t="n"/>
      <c r="G385" s="1" t="n"/>
    </row>
    <row r="386">
      <c r="A386" s="2" t="n">
        <v>384</v>
      </c>
      <c r="F386" s="1" t="n"/>
      <c r="G386" s="1" t="n"/>
    </row>
    <row r="387">
      <c r="A387" s="2" t="n">
        <v>385</v>
      </c>
      <c r="F387" s="1" t="n"/>
      <c r="G387" s="1" t="n"/>
    </row>
    <row r="388">
      <c r="A388" s="2" t="n">
        <v>386</v>
      </c>
      <c r="F388" s="1" t="n"/>
      <c r="G388" s="1" t="n"/>
    </row>
    <row r="389">
      <c r="A389" s="2" t="n">
        <v>387</v>
      </c>
      <c r="F389" s="1" t="n"/>
      <c r="G389" s="1" t="n"/>
    </row>
    <row r="390">
      <c r="A390" s="2" t="n">
        <v>388</v>
      </c>
      <c r="F390" s="1" t="n"/>
      <c r="G390" s="1" t="n"/>
    </row>
    <row r="391">
      <c r="A391" s="2" t="n">
        <v>389</v>
      </c>
      <c r="F391" s="1" t="n"/>
      <c r="G391" s="1" t="n"/>
    </row>
    <row r="392">
      <c r="A392" s="2" t="n">
        <v>390</v>
      </c>
      <c r="F392" s="1" t="n"/>
      <c r="G392" s="1" t="n"/>
    </row>
    <row r="393">
      <c r="A393" s="2" t="n">
        <v>391</v>
      </c>
      <c r="F393" s="1" t="n"/>
      <c r="G393" s="1" t="n"/>
    </row>
    <row r="394">
      <c r="A394" s="2" t="n">
        <v>392</v>
      </c>
      <c r="F394" s="1" t="n"/>
      <c r="G394" s="1" t="n"/>
    </row>
    <row r="395">
      <c r="A395" s="2" t="n">
        <v>393</v>
      </c>
      <c r="F395" s="1" t="n"/>
      <c r="G395" s="1" t="n"/>
    </row>
    <row r="396">
      <c r="A396" s="2" t="n">
        <v>394</v>
      </c>
      <c r="F396" s="1" t="n"/>
      <c r="G396" s="1" t="n"/>
    </row>
    <row r="397">
      <c r="A397" s="2" t="n">
        <v>395</v>
      </c>
      <c r="F397" s="1" t="n"/>
      <c r="G397" s="1" t="n"/>
    </row>
    <row r="398">
      <c r="A398" s="2" t="n">
        <v>396</v>
      </c>
      <c r="F398" s="1" t="n"/>
      <c r="G398" s="1" t="n"/>
    </row>
    <row r="399">
      <c r="A399" s="2" t="n">
        <v>397</v>
      </c>
      <c r="F399" s="1" t="n"/>
      <c r="G399" s="1" t="n"/>
    </row>
    <row r="400">
      <c r="A400" s="2" t="n">
        <v>398</v>
      </c>
      <c r="F400" s="1" t="n"/>
      <c r="G400" s="1" t="n"/>
    </row>
    <row r="401">
      <c r="A401" s="2" t="n">
        <v>399</v>
      </c>
      <c r="F401" s="1" t="n"/>
      <c r="G401" s="1" t="n"/>
    </row>
    <row r="402">
      <c r="A402" s="2" t="n">
        <v>400</v>
      </c>
      <c r="F402" s="1" t="n"/>
      <c r="G402" s="1" t="n"/>
    </row>
    <row r="403">
      <c r="A403" s="2" t="n">
        <v>401</v>
      </c>
      <c r="F403" s="1" t="n"/>
      <c r="G403" s="1" t="n"/>
    </row>
    <row r="404">
      <c r="A404" s="2" t="n">
        <v>402</v>
      </c>
      <c r="F404" s="1" t="n"/>
      <c r="G404" s="1" t="n"/>
    </row>
    <row r="405">
      <c r="A405" s="2" t="n">
        <v>403</v>
      </c>
      <c r="F405" s="1" t="n"/>
      <c r="G405" s="1" t="n"/>
    </row>
    <row r="406">
      <c r="A406" s="2" t="n">
        <v>404</v>
      </c>
      <c r="F406" s="1" t="n"/>
      <c r="G406" s="1" t="n"/>
    </row>
    <row r="407">
      <c r="A407" s="2" t="n">
        <v>405</v>
      </c>
      <c r="F407" s="1" t="n"/>
      <c r="G407" s="1" t="n"/>
    </row>
    <row r="408">
      <c r="A408" s="2" t="n">
        <v>406</v>
      </c>
      <c r="F408" s="1" t="n"/>
      <c r="G408" s="1" t="n"/>
    </row>
    <row r="409">
      <c r="A409" s="2" t="n">
        <v>407</v>
      </c>
      <c r="F409" s="1" t="n"/>
      <c r="G409" s="1" t="n"/>
    </row>
    <row r="410">
      <c r="A410" s="2" t="n">
        <v>408</v>
      </c>
      <c r="F410" s="1" t="n"/>
      <c r="G410" s="1" t="n"/>
    </row>
    <row r="411">
      <c r="A411" s="2" t="n">
        <v>409</v>
      </c>
      <c r="F411" s="1" t="n"/>
      <c r="G411" s="1" t="n"/>
    </row>
    <row r="412">
      <c r="A412" s="2" t="n">
        <v>410</v>
      </c>
      <c r="F412" s="1" t="n"/>
      <c r="G412" s="1" t="n"/>
    </row>
    <row r="413">
      <c r="A413" s="2" t="n">
        <v>411</v>
      </c>
      <c r="F413" s="1" t="n"/>
      <c r="G413" s="1" t="n"/>
    </row>
    <row r="414">
      <c r="A414" s="2" t="n">
        <v>412</v>
      </c>
      <c r="F414" s="1" t="n"/>
      <c r="G414" s="1" t="n"/>
    </row>
    <row r="415">
      <c r="A415" s="2" t="n">
        <v>413</v>
      </c>
      <c r="F415" s="1" t="n"/>
      <c r="G415" s="1" t="n"/>
    </row>
    <row r="416">
      <c r="A416" s="2" t="n">
        <v>414</v>
      </c>
      <c r="F416" s="1" t="n"/>
      <c r="G416" s="1" t="n"/>
    </row>
    <row r="417">
      <c r="A417" s="2" t="n">
        <v>415</v>
      </c>
      <c r="F417" s="1" t="n"/>
      <c r="G417" s="1" t="n"/>
    </row>
    <row r="418">
      <c r="A418" s="2" t="n">
        <v>416</v>
      </c>
      <c r="F418" s="1" t="n"/>
      <c r="G418" s="1" t="n"/>
    </row>
    <row r="419">
      <c r="A419" s="2" t="n">
        <v>417</v>
      </c>
      <c r="F419" s="1" t="n"/>
      <c r="G419" s="1" t="n"/>
    </row>
    <row r="420">
      <c r="A420" s="2" t="n">
        <v>418</v>
      </c>
      <c r="F420" s="1" t="n"/>
      <c r="G420" s="1" t="n"/>
    </row>
    <row r="421">
      <c r="A421" s="2" t="n">
        <v>419</v>
      </c>
      <c r="F421" s="1" t="n"/>
      <c r="G421" s="1" t="n"/>
    </row>
    <row r="422">
      <c r="A422" s="2" t="n">
        <v>420</v>
      </c>
      <c r="F422" s="1" t="n"/>
      <c r="G422" s="1" t="n"/>
    </row>
    <row r="423">
      <c r="A423" s="2" t="n">
        <v>421</v>
      </c>
      <c r="F423" s="1" t="n"/>
      <c r="G423" s="1" t="n"/>
    </row>
    <row r="424">
      <c r="A424" s="2" t="n">
        <v>422</v>
      </c>
      <c r="F424" s="1" t="n"/>
      <c r="G424" s="1" t="n"/>
    </row>
    <row r="425">
      <c r="A425" s="2" t="n">
        <v>423</v>
      </c>
      <c r="F425" s="1" t="n"/>
      <c r="G425" s="1" t="n"/>
    </row>
    <row r="426">
      <c r="A426" s="2" t="n">
        <v>424</v>
      </c>
      <c r="F426" s="1" t="n"/>
      <c r="G426" s="1" t="n"/>
    </row>
    <row r="427">
      <c r="A427" s="2" t="n">
        <v>425</v>
      </c>
      <c r="F427" s="1" t="n"/>
      <c r="G427" s="1" t="n"/>
    </row>
    <row r="428">
      <c r="A428" s="2" t="n">
        <v>426</v>
      </c>
      <c r="F428" s="1" t="n"/>
      <c r="G428" s="1" t="n"/>
    </row>
    <row r="429">
      <c r="A429" s="2" t="n">
        <v>427</v>
      </c>
      <c r="F429" s="1" t="n"/>
      <c r="G429" s="1" t="n"/>
    </row>
    <row r="430">
      <c r="A430" s="2" t="n">
        <v>428</v>
      </c>
      <c r="F430" s="1" t="n"/>
      <c r="G430" s="1" t="n"/>
    </row>
    <row r="431">
      <c r="A431" s="2" t="n">
        <v>429</v>
      </c>
      <c r="F431" s="1" t="n"/>
      <c r="G431" s="1" t="n"/>
    </row>
    <row r="432">
      <c r="A432" s="2" t="n">
        <v>430</v>
      </c>
      <c r="F432" s="1" t="n"/>
      <c r="G432" s="1" t="n"/>
    </row>
    <row r="433">
      <c r="A433" s="2" t="n">
        <v>431</v>
      </c>
      <c r="F433" s="1" t="n"/>
      <c r="G433" s="1" t="n"/>
    </row>
    <row r="434">
      <c r="A434" s="162" t="n"/>
      <c r="B434" s="1" t="n"/>
      <c r="C434" s="1" t="n"/>
      <c r="D434" s="1" t="n"/>
      <c r="E434" s="1" t="n"/>
      <c r="F434" s="1" t="n"/>
      <c r="G434" s="1" t="n"/>
    </row>
    <row r="435">
      <c r="A435" s="162" t="n"/>
      <c r="B435" s="1" t="n"/>
      <c r="C435" s="1" t="n"/>
      <c r="D435" s="1" t="n"/>
      <c r="E435" s="1" t="n"/>
      <c r="F435" s="1" t="n"/>
      <c r="G435" s="1" t="n"/>
    </row>
    <row r="436">
      <c r="A436" s="162" t="n"/>
      <c r="B436" s="1" t="n"/>
      <c r="C436" s="1" t="n"/>
      <c r="D436" s="1" t="n"/>
      <c r="E436" s="1" t="n"/>
      <c r="F436" s="1" t="n"/>
      <c r="G436" s="1" t="n"/>
    </row>
    <row r="437">
      <c r="A437" s="162" t="n"/>
      <c r="B437" s="1" t="n"/>
      <c r="C437" s="1" t="n"/>
      <c r="D437" s="1" t="n"/>
      <c r="E437" s="1" t="n"/>
      <c r="F437" s="1" t="n"/>
      <c r="G437" s="1" t="n"/>
    </row>
    <row r="438">
      <c r="A438" s="162" t="n"/>
      <c r="B438" s="1" t="n"/>
      <c r="C438" s="1" t="n"/>
      <c r="D438" s="1" t="n"/>
      <c r="E438" s="1" t="n"/>
      <c r="F438" s="1" t="n"/>
      <c r="G438" s="1" t="n"/>
    </row>
    <row r="439">
      <c r="A439" s="162" t="n"/>
      <c r="B439" s="1" t="n"/>
      <c r="C439" s="1" t="n"/>
      <c r="D439" s="1" t="n"/>
      <c r="E439" s="1" t="n"/>
      <c r="F439" s="1" t="n"/>
      <c r="G439" s="1" t="n"/>
    </row>
  </sheetData>
  <mergeCells count="1">
    <mergeCell ref="A1:E1"/>
  </mergeCells>
  <pageMargins left="0.7" right="0.7" top="0.75" bottom="0.75" header="0.3" footer="0.3"/>
  <headerFooter>
    <oddHeader>&amp;C&amp;"Aptos"&amp;1 &amp;K008000 Confidential GREEN#_x000d_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tabColor rgb="FF00B050"/>
    <outlinePr summaryBelow="1" summaryRight="1"/>
    <pageSetUpPr/>
  </sheetPr>
  <dimension ref="A1:M513"/>
  <sheetViews>
    <sheetView tabSelected="1" zoomScale="85" zoomScaleNormal="85" workbookViewId="0">
      <selection activeCell="G22" sqref="G22"/>
    </sheetView>
  </sheetViews>
  <sheetFormatPr baseColWidth="8" defaultColWidth="0" defaultRowHeight="14.4" zeroHeight="1" outlineLevelRow="1"/>
  <cols>
    <col width="11.5546875" bestFit="1" customWidth="1" min="1" max="1"/>
    <col width="10.33203125" bestFit="1" customWidth="1" min="2" max="2"/>
    <col width="19.21875" customWidth="1" min="3" max="3"/>
    <col width="22.6640625" customWidth="1" min="4" max="4"/>
    <col width="18.77734375" customWidth="1" min="5" max="5"/>
    <col width="45.6640625" customWidth="1" min="6" max="6"/>
    <col width="15.33203125" bestFit="1" customWidth="1" min="7" max="7"/>
    <col width="18.109375" customWidth="1" min="8" max="8"/>
    <col width="15.33203125" bestFit="1" customWidth="1" min="9" max="9"/>
    <col width="16.109375" bestFit="1" customWidth="1" min="10" max="10"/>
    <col width="14.6640625" bestFit="1" customWidth="1" min="11" max="11"/>
    <col width="10.33203125" customWidth="1" min="12" max="12"/>
    <col width="18.21875" customWidth="1" min="13" max="13"/>
    <col hidden="1" width="15.109375" customWidth="1" min="14" max="14"/>
    <col hidden="1" width="20.44140625" customWidth="1" min="15" max="15"/>
    <col hidden="1" width="17.33203125" customWidth="1" min="16" max="16"/>
    <col hidden="1" width="18.6640625" customWidth="1" min="17" max="23"/>
    <col hidden="1" min="24" max="38"/>
    <col hidden="1" width="9.109375" customWidth="1" min="39" max="16384"/>
  </cols>
  <sheetData>
    <row r="1" ht="15" customHeight="1" thickBot="1">
      <c r="A1" s="100" t="inlineStr">
        <is>
          <t>NOTE : Please use the template for effort calcualtion as per the complexity of each requirement, to achieve better accuracy break the requirements in possible short delivery. Please align the "Effort estimation base" as per the project.</t>
        </is>
      </c>
      <c r="B1" s="100" t="n"/>
      <c r="C1" s="100" t="n"/>
      <c r="D1" s="100" t="n"/>
      <c r="E1" s="100" t="n"/>
      <c r="F1" s="100" t="n"/>
      <c r="G1" s="100" t="n"/>
      <c r="H1" s="100" t="n"/>
      <c r="I1" s="100" t="n"/>
      <c r="J1" s="100" t="n"/>
      <c r="K1" s="100" t="n"/>
      <c r="L1" s="100" t="n"/>
      <c r="M1" s="100" t="n"/>
    </row>
    <row r="2" ht="15" customHeight="1" thickBot="1">
      <c r="A2" s="396" t="inlineStr">
        <is>
          <t>Effort Estimation Base</t>
        </is>
      </c>
      <c r="B2" s="480" t="n"/>
      <c r="C2" s="480" t="n"/>
      <c r="D2" s="480" t="n"/>
      <c r="E2" s="480" t="n"/>
      <c r="F2" s="480" t="n"/>
      <c r="G2" s="88" t="n"/>
      <c r="H2" s="481" t="inlineStr">
        <is>
          <t>Final Efforts Summary ( Man Hours )</t>
        </is>
      </c>
      <c r="I2" s="480" t="n"/>
      <c r="J2" s="480" t="n"/>
      <c r="K2" s="482" t="n"/>
      <c r="L2" s="417" t="n"/>
      <c r="M2" s="417" t="n"/>
    </row>
    <row r="3" outlineLevel="1" ht="16.5" customHeight="1">
      <c r="A3" s="5" t="inlineStr">
        <is>
          <t>Complexity</t>
        </is>
      </c>
      <c r="B3" s="414" t="inlineStr">
        <is>
          <t>Complexity Meaning</t>
        </is>
      </c>
      <c r="C3" s="197" t="n"/>
      <c r="D3" s="197" t="n"/>
      <c r="E3" s="197" t="n"/>
      <c r="F3" s="483" t="n"/>
      <c r="G3" s="8" t="n"/>
      <c r="H3" s="89" t="inlineStr">
        <is>
          <t>IT Development</t>
        </is>
      </c>
      <c r="I3" s="90">
        <f>SUMIF(B17:B513,"IT",K17:K513)+ SUMIF(B17:B513,"",K17:K513)</f>
        <v/>
      </c>
      <c r="J3" s="91" t="inlineStr">
        <is>
          <t>OT Development</t>
        </is>
      </c>
      <c r="K3" s="92">
        <f>SUMIF(B17:B513,"OT",K17:K513)</f>
        <v/>
      </c>
      <c r="L3" s="416" t="e">
        <v>#VALUE!</v>
      </c>
    </row>
    <row r="4" outlineLevel="1" ht="16.5" customHeight="1">
      <c r="A4" s="6" t="n">
        <v>1</v>
      </c>
      <c r="B4" s="424" t="inlineStr">
        <is>
          <t xml:space="preserve">Simple </t>
        </is>
      </c>
      <c r="C4" s="484" t="n"/>
      <c r="D4" s="415" t="inlineStr">
        <is>
          <t>Small  business logic. :  No UI, Integration</t>
        </is>
      </c>
      <c r="E4" s="485" t="n"/>
      <c r="F4" s="484" t="n"/>
      <c r="G4" s="8" t="n"/>
      <c r="H4" s="93" t="inlineStr">
        <is>
          <t>Total Development</t>
        </is>
      </c>
      <c r="I4" s="94">
        <f>SUM(K17:K513)</f>
        <v/>
      </c>
      <c r="J4" s="95" t="inlineStr">
        <is>
          <t>Designing</t>
        </is>
      </c>
      <c r="K4" s="96">
        <f>$I$4*G11</f>
        <v/>
      </c>
      <c r="L4" s="468" t="n"/>
    </row>
    <row r="5" outlineLevel="1" ht="16.5" customHeight="1">
      <c r="A5" s="6" t="n">
        <v>2</v>
      </c>
      <c r="B5" s="424" t="inlineStr">
        <is>
          <t>Simple- Medium</t>
        </is>
      </c>
      <c r="C5" s="484" t="n"/>
      <c r="D5" s="415" t="inlineStr">
        <is>
          <t>medium business logic. : 1-2 small UI,  No Integration</t>
        </is>
      </c>
      <c r="E5" s="485" t="n"/>
      <c r="F5" s="484" t="n"/>
      <c r="G5" s="8" t="n"/>
      <c r="H5" s="97" t="inlineStr">
        <is>
          <t>Req Understanding</t>
        </is>
      </c>
      <c r="I5" s="94">
        <f>COUNTIF(K17:K513,"&gt;0")*$E$11</f>
        <v/>
      </c>
      <c r="J5" s="95" t="inlineStr">
        <is>
          <t>Commissioning</t>
        </is>
      </c>
      <c r="K5" s="96">
        <f>$I$4*K11</f>
        <v/>
      </c>
      <c r="L5" s="468" t="n"/>
    </row>
    <row r="6" outlineLevel="1" ht="16.5" customHeight="1">
      <c r="A6" s="6" t="n">
        <v>3</v>
      </c>
      <c r="B6" s="424" t="inlineStr">
        <is>
          <t xml:space="preserve">Medium </t>
        </is>
      </c>
      <c r="C6" s="484" t="n"/>
      <c r="D6" s="415" t="inlineStr">
        <is>
          <t>Medium business logic. :  1-2 medium UI,  1 Integration</t>
        </is>
      </c>
      <c r="E6" s="485" t="n"/>
      <c r="F6" s="484" t="n"/>
      <c r="G6" s="8" t="n"/>
      <c r="H6" s="97" t="inlineStr">
        <is>
          <t>SIT</t>
        </is>
      </c>
      <c r="I6" s="94">
        <f>$I$4*I11</f>
        <v/>
      </c>
      <c r="J6" s="9" t="inlineStr">
        <is>
          <t>SAT/UAT</t>
        </is>
      </c>
      <c r="K6" s="10">
        <f>$I$4*J11</f>
        <v/>
      </c>
      <c r="L6" s="468" t="n"/>
    </row>
    <row r="7" outlineLevel="1" ht="16.5" customHeight="1">
      <c r="A7" s="6" t="n">
        <v>4</v>
      </c>
      <c r="B7" s="424" t="inlineStr">
        <is>
          <t xml:space="preserve">Medium-Complex </t>
        </is>
      </c>
      <c r="C7" s="484" t="n"/>
      <c r="D7" s="415" t="inlineStr">
        <is>
          <t>Complex business logic. : 1-2 medium UI,  1-2 Integration</t>
        </is>
      </c>
      <c r="E7" s="485" t="n"/>
      <c r="F7" s="484" t="n"/>
      <c r="G7" s="8" t="n"/>
      <c r="H7" s="401" t="inlineStr">
        <is>
          <t>Final Efforts  ( Man Hours )</t>
        </is>
      </c>
      <c r="I7" s="485" t="n"/>
      <c r="J7" s="484" t="n"/>
      <c r="K7" s="98">
        <f>K5+I6+I5+I4+K4+K6</f>
        <v/>
      </c>
      <c r="L7" s="416" t="e">
        <v>#VALUE!</v>
      </c>
    </row>
    <row r="8" outlineLevel="1" ht="16.5" customHeight="1" thickBot="1">
      <c r="A8" s="6" t="n">
        <v>5</v>
      </c>
      <c r="B8" s="424" t="inlineStr">
        <is>
          <t>Complex</t>
        </is>
      </c>
      <c r="C8" s="484" t="n"/>
      <c r="D8" s="415" t="inlineStr">
        <is>
          <t>Complex business logic. : Complex UI, multiple Integration</t>
        </is>
      </c>
      <c r="E8" s="485" t="n"/>
      <c r="F8" s="484" t="n"/>
      <c r="G8" s="8" t="n"/>
      <c r="H8" s="428" t="inlineStr">
        <is>
          <t>Final Efforts  ( Man Days )</t>
        </is>
      </c>
      <c r="I8" s="486" t="n"/>
      <c r="J8" s="487" t="n"/>
      <c r="K8" s="99">
        <f>K7/8</f>
        <v/>
      </c>
      <c r="L8" s="468" t="n"/>
    </row>
    <row r="9" outlineLevel="1" ht="15" customHeight="1" thickBot="1">
      <c r="A9" s="488" t="n"/>
      <c r="B9" s="196" t="n"/>
      <c r="C9" s="196" t="n"/>
      <c r="D9" s="196" t="n"/>
      <c r="E9" s="196" t="n"/>
      <c r="F9" s="489" t="n"/>
      <c r="G9" s="8" t="n"/>
      <c r="H9" s="8" t="n"/>
      <c r="I9" s="8" t="n"/>
      <c r="J9" s="8" t="n"/>
      <c r="K9" s="11" t="n"/>
      <c r="L9" s="468" t="n"/>
    </row>
    <row r="10" outlineLevel="1" ht="28.8" customHeight="1">
      <c r="A10" s="490" t="inlineStr">
        <is>
          <t>Base Development
Efforts (Hrs)</t>
        </is>
      </c>
      <c r="B10" s="475" t="n"/>
      <c r="C10" s="12" t="inlineStr">
        <is>
          <t>Base Integration Dev Efforts (Hrs)</t>
        </is>
      </c>
      <c r="D10" s="475" t="n"/>
      <c r="E10" s="12" t="inlineStr">
        <is>
          <t>Req Gathering 
Efforts (Hrs)</t>
        </is>
      </c>
      <c r="F10" s="475" t="n"/>
      <c r="G10" s="12" t="inlineStr">
        <is>
          <t>Solutioning 
Efforts ( % of Dev)</t>
        </is>
      </c>
      <c r="H10" s="475" t="n"/>
      <c r="I10" s="12" t="inlineStr">
        <is>
          <t>SIT Efforts 
( % of Dev)</t>
        </is>
      </c>
      <c r="J10" s="12" t="inlineStr">
        <is>
          <t>SAT/UAT Efforts 
( % of Dev)</t>
        </is>
      </c>
      <c r="K10" s="13" t="inlineStr">
        <is>
          <t>Comm Efforts 
( % of Dev)</t>
        </is>
      </c>
      <c r="L10" s="468" t="n"/>
    </row>
    <row r="11" outlineLevel="1" ht="15" customHeight="1" thickBot="1">
      <c r="A11" s="491" t="n">
        <v>3</v>
      </c>
      <c r="B11" s="473" t="n"/>
      <c r="C11" s="492" t="n">
        <v>6</v>
      </c>
      <c r="D11" s="473" t="n"/>
      <c r="E11" s="492" t="n">
        <v>2</v>
      </c>
      <c r="F11" s="473" t="n"/>
      <c r="G11" s="17" t="n">
        <v>0.1</v>
      </c>
      <c r="H11" s="473" t="n"/>
      <c r="I11" s="17" t="n">
        <v>0.1</v>
      </c>
      <c r="J11" s="17" t="n">
        <v>0.2</v>
      </c>
      <c r="K11" s="18" t="n">
        <v>0.1</v>
      </c>
      <c r="L11" s="468" t="n"/>
    </row>
    <row r="12" outlineLevel="1" ht="15" customHeight="1" thickBot="1">
      <c r="A12" s="493" t="n"/>
      <c r="B12" s="461" t="n"/>
      <c r="C12" s="461" t="n"/>
      <c r="D12" s="461" t="n"/>
      <c r="E12" s="461" t="n"/>
      <c r="F12" s="461" t="n"/>
      <c r="G12" s="461" t="n"/>
      <c r="H12" s="461" t="n"/>
      <c r="I12" s="461" t="n"/>
      <c r="J12" s="461" t="n"/>
      <c r="K12" s="494" t="n"/>
      <c r="L12" s="468" t="n"/>
    </row>
    <row r="13" ht="15" customHeight="1" thickBot="1">
      <c r="A13" s="421" t="inlineStr">
        <is>
          <t>This sheet defines the basis for effort estimations. Please check the notes on each column for more details</t>
        </is>
      </c>
      <c r="B13" s="461" t="n"/>
      <c r="C13" s="461" t="n"/>
      <c r="D13" s="461" t="n"/>
      <c r="E13" s="461" t="n"/>
      <c r="F13" s="461" t="n"/>
      <c r="G13" s="461" t="n"/>
      <c r="H13" s="461" t="n"/>
      <c r="I13" s="461" t="n"/>
      <c r="J13" s="461" t="n"/>
      <c r="K13" s="495" t="n"/>
      <c r="L13" s="430" t="inlineStr">
        <is>
          <t>Strictly Internal to Smart Controls Authorized personnel only.</t>
        </is>
      </c>
    </row>
    <row r="14" ht="15" customHeight="1" thickBot="1">
      <c r="A14" s="1" t="n"/>
      <c r="B14" s="417" t="n"/>
      <c r="C14" s="417" t="n"/>
      <c r="D14" s="417" t="n"/>
      <c r="E14" s="417" t="n"/>
      <c r="F14" s="417" t="n"/>
      <c r="G14" s="417" t="n"/>
      <c r="H14" s="417" t="n"/>
      <c r="I14" s="417" t="n"/>
      <c r="J14" s="417" t="n"/>
      <c r="K14" s="417" t="n"/>
    </row>
    <row r="15">
      <c r="A15" s="496" t="inlineStr">
        <is>
          <t>Requirement Details : Break into logical modules for better accuracy.</t>
        </is>
      </c>
      <c r="B15" s="497" t="n"/>
      <c r="C15" s="497" t="n"/>
      <c r="D15" s="497" t="n"/>
      <c r="E15" s="497" t="n"/>
      <c r="F15" s="497" t="n"/>
      <c r="G15" s="497" t="n"/>
      <c r="H15" s="497" t="n"/>
      <c r="I15" s="497" t="n"/>
      <c r="J15" s="497" t="n"/>
      <c r="K15" s="498" t="n"/>
    </row>
    <row r="16" ht="29.4" customHeight="1" thickBot="1">
      <c r="A16" s="101" t="inlineStr">
        <is>
          <t>Req ID</t>
        </is>
      </c>
      <c r="B16" s="102" t="inlineStr">
        <is>
          <t>Type</t>
        </is>
      </c>
      <c r="C16" s="102" t="inlineStr">
        <is>
          <t>Module</t>
        </is>
      </c>
      <c r="D16" s="102" t="inlineStr">
        <is>
          <t>Req Category</t>
        </is>
      </c>
      <c r="E16" s="102" t="inlineStr">
        <is>
          <t>Req Summary</t>
        </is>
      </c>
      <c r="F16" s="102" t="inlineStr">
        <is>
          <t>Req Description</t>
        </is>
      </c>
      <c r="G16" s="102" t="inlineStr">
        <is>
          <t>Other 
Integration</t>
        </is>
      </c>
      <c r="H16" s="102" t="inlineStr">
        <is>
          <t>SAP
Integration</t>
        </is>
      </c>
      <c r="I16" s="102" t="inlineStr">
        <is>
          <t>OEM 
Integration</t>
        </is>
      </c>
      <c r="J16" s="103" t="inlineStr">
        <is>
          <t>Complexity</t>
        </is>
      </c>
      <c r="K16" s="104" t="inlineStr">
        <is>
          <t>Dev Efforts</t>
        </is>
      </c>
    </row>
    <row r="17">
      <c r="A17" s="14" t="n">
        <v>1</v>
      </c>
      <c r="B17" s="14" t="inlineStr">
        <is>
          <t>IT</t>
        </is>
      </c>
      <c r="C17" s="14" t="inlineStr">
        <is>
          <t>OPC UA</t>
        </is>
      </c>
      <c r="D17" s="14" t="inlineStr">
        <is>
          <t>Integration</t>
        </is>
      </c>
      <c r="E17" s="15" t="inlineStr">
        <is>
          <t>OPC UA Client-Server Framework</t>
        </is>
      </c>
      <c r="F17" s="14" t="inlineStr">
        <is>
          <t>OPC UA Client service: connect, subscribe, cyclic read from PLC OPC UA Server.</t>
        </is>
      </c>
      <c r="G17" s="14" t="n">
        <v>0</v>
      </c>
      <c r="H17" s="14" t="n">
        <v>0</v>
      </c>
      <c r="I17" s="14" t="n">
        <v>1</v>
      </c>
      <c r="J17" s="16" t="n">
        <v>4</v>
      </c>
      <c r="K17" s="14" t="n">
        <v>18</v>
      </c>
    </row>
    <row r="18">
      <c r="A18" s="14" t="n">
        <v>2</v>
      </c>
      <c r="B18" s="14" t="inlineStr">
        <is>
          <t>IT</t>
        </is>
      </c>
      <c r="C18" s="14" t="inlineStr">
        <is>
          <t>Configuration</t>
        </is>
      </c>
      <c r="D18" s="14" t="inlineStr">
        <is>
          <t>Feature</t>
        </is>
      </c>
      <c r="E18" s="15" t="inlineStr">
        <is>
          <t>Mixer Configuration</t>
        </is>
      </c>
      <c r="F18" s="14" t="inlineStr">
        <is>
          <t>CRUD UI + .NET backend for Mixer instances with PLC connection parameters.</t>
        </is>
      </c>
      <c r="G18" s="14" t="n">
        <v>0</v>
      </c>
      <c r="H18" s="14" t="n">
        <v>0</v>
      </c>
      <c r="I18" s="14" t="n">
        <v>0</v>
      </c>
      <c r="J18" s="16" t="n">
        <v>2</v>
      </c>
      <c r="K18" s="14" t="n">
        <v>6</v>
      </c>
    </row>
    <row r="19">
      <c r="A19" s="14" t="n">
        <v>3</v>
      </c>
      <c r="B19" s="14" t="inlineStr">
        <is>
          <t>IT</t>
        </is>
      </c>
      <c r="C19" s="14" t="inlineStr">
        <is>
          <t>Configuration</t>
        </is>
      </c>
      <c r="D19" s="14" t="inlineStr">
        <is>
          <t>Feature</t>
        </is>
      </c>
      <c r="E19" s="15" t="inlineStr">
        <is>
          <t>Parameter Configuration</t>
        </is>
      </c>
      <c r="F19" s="14" t="inlineStr">
        <is>
          <t>CRUD UI + .NET backend for parameters per Mixer (tag mapping, unit, scaling).</t>
        </is>
      </c>
      <c r="G19" s="14" t="n">
        <v>0</v>
      </c>
      <c r="H19" s="14" t="n">
        <v>0</v>
      </c>
      <c r="I19" s="14" t="n">
        <v>0</v>
      </c>
      <c r="J19" s="16" t="n">
        <v>2</v>
      </c>
      <c r="K19" s="14" t="n">
        <v>6</v>
      </c>
    </row>
    <row r="20">
      <c r="A20" s="14" t="n">
        <v>4</v>
      </c>
      <c r="B20" s="14" t="inlineStr">
        <is>
          <t>IT</t>
        </is>
      </c>
      <c r="C20" s="14" t="inlineStr">
        <is>
          <t>Configuration</t>
        </is>
      </c>
      <c r="D20" s="14" t="inlineStr">
        <is>
          <t>Feature</t>
        </is>
      </c>
      <c r="E20" s="15" t="inlineStr">
        <is>
          <t>PLC Tag Configuration</t>
        </is>
      </c>
      <c r="F20" s="14" t="inlineStr">
        <is>
          <t>CRUD UI + .NET backend for PLC OPC UA tags (Node ID, data type, enable/disable).</t>
        </is>
      </c>
      <c r="G20" s="14" t="n">
        <v>0</v>
      </c>
      <c r="H20" s="14" t="n">
        <v>0</v>
      </c>
      <c r="I20" s="14" t="n">
        <v>0</v>
      </c>
      <c r="J20" s="16" t="n">
        <v>2</v>
      </c>
      <c r="K20" s="14" t="n">
        <v>6</v>
      </c>
    </row>
    <row r="21">
      <c r="A21" s="14" t="n">
        <v>5</v>
      </c>
      <c r="B21" s="14" t="inlineStr">
        <is>
          <t>IT</t>
        </is>
      </c>
      <c r="C21" s="272" t="inlineStr">
        <is>
          <t>Data Logger</t>
        </is>
      </c>
      <c r="D21" s="14" t="inlineStr">
        <is>
          <t>Feature</t>
        </is>
      </c>
      <c r="E21" s="14" t="inlineStr">
        <is>
          <t>Cyclic Data Logging (1s)</t>
        </is>
      </c>
      <c r="F21" s="14" t="inlineStr">
        <is>
          <t>.NET background service logging PLC values to SQL DB at 1s via OPC UA.</t>
        </is>
      </c>
      <c r="G21" s="14" t="n">
        <v>0</v>
      </c>
      <c r="H21" s="14" t="n">
        <v>0</v>
      </c>
      <c r="I21" s="14" t="n">
        <v>1</v>
      </c>
      <c r="J21" s="16" t="n">
        <v>4</v>
      </c>
      <c r="K21" s="14" t="n">
        <v>18</v>
      </c>
    </row>
    <row r="22">
      <c r="A22" s="14" t="n">
        <v>6</v>
      </c>
      <c r="B22" s="14" t="inlineStr">
        <is>
          <t>IT</t>
        </is>
      </c>
      <c r="C22" s="272" t="inlineStr">
        <is>
          <t>Data Logger</t>
        </is>
      </c>
      <c r="D22" s="14" t="inlineStr">
        <is>
          <t>Feature</t>
        </is>
      </c>
      <c r="E22" s="14" t="inlineStr">
        <is>
          <t>High Freq Logging (0.1-0.5s)</t>
        </is>
      </c>
      <c r="F22" s="14" t="inlineStr">
        <is>
          <t>Performance-optimized logging mode with configurable sub-second frequency.</t>
        </is>
      </c>
      <c r="G22" s="14" t="n">
        <v>0</v>
      </c>
      <c r="H22" s="14" t="n">
        <v>0</v>
      </c>
      <c r="I22" s="14" t="n">
        <v>0</v>
      </c>
      <c r="J22" s="16" t="n">
        <v>3</v>
      </c>
      <c r="K22" s="14" t="n">
        <v>9</v>
      </c>
    </row>
    <row r="23">
      <c r="A23" s="14" t="n">
        <v>7</v>
      </c>
      <c r="B23" s="14" t="inlineStr">
        <is>
          <t>IT</t>
        </is>
      </c>
      <c r="C23" s="272" t="inlineStr">
        <is>
          <t>Graph Display</t>
        </is>
      </c>
      <c r="D23" s="14" t="inlineStr">
        <is>
          <t>UI</t>
        </is>
      </c>
      <c r="E23" s="14" t="inlineStr">
        <is>
          <t>Real-time Online Trend</t>
        </is>
      </c>
      <c r="F23" s="14" t="inlineStr">
        <is>
          <t>React JS live trend chart with auto-refresh.</t>
        </is>
      </c>
      <c r="G23" s="14" t="n">
        <v>0</v>
      </c>
      <c r="H23" s="14" t="n">
        <v>0</v>
      </c>
      <c r="I23" s="14" t="n">
        <v>0</v>
      </c>
      <c r="J23" s="16" t="n">
        <v>4</v>
      </c>
      <c r="K23" s="14" t="n">
        <v>12</v>
      </c>
    </row>
    <row r="24">
      <c r="A24" s="14" t="n">
        <v>8</v>
      </c>
      <c r="B24" s="14" t="inlineStr">
        <is>
          <t>IT</t>
        </is>
      </c>
      <c r="C24" s="272" t="inlineStr">
        <is>
          <t>Graph Display</t>
        </is>
      </c>
      <c r="D24" s="14" t="inlineStr">
        <is>
          <t>UI</t>
        </is>
      </c>
      <c r="E24" s="14" t="inlineStr">
        <is>
          <t>History Trend Display</t>
        </is>
      </c>
      <c r="F24" s="14" t="inlineStr">
        <is>
          <t>History trend chart with DB query by time range.</t>
        </is>
      </c>
      <c r="G24" s="14" t="n">
        <v>0</v>
      </c>
      <c r="H24" s="14" t="n">
        <v>0</v>
      </c>
      <c r="I24" s="14" t="n">
        <v>0</v>
      </c>
      <c r="J24" s="16" t="n">
        <v>3</v>
      </c>
      <c r="K24" s="14" t="n">
        <v>9</v>
      </c>
      <c r="L24" s="7" t="n"/>
      <c r="M24" s="7" t="n"/>
    </row>
    <row r="25">
      <c r="A25" s="14" t="n">
        <v>9</v>
      </c>
      <c r="B25" s="14" t="inlineStr">
        <is>
          <t>IT</t>
        </is>
      </c>
      <c r="C25" s="14" t="inlineStr">
        <is>
          <t>Graph Display</t>
        </is>
      </c>
      <c r="D25" s="14" t="inlineStr">
        <is>
          <t>UI</t>
        </is>
      </c>
      <c r="E25" s="15" t="inlineStr">
        <is>
          <t>Graph Customization Options</t>
        </is>
      </c>
      <c r="F25" s="14" t="inlineStr">
        <is>
          <t>X/Y axis span, channel selection, color picker, zoom, cursor, legends.</t>
        </is>
      </c>
      <c r="G25" s="14" t="n">
        <v>0</v>
      </c>
      <c r="H25" s="14" t="n">
        <v>0</v>
      </c>
      <c r="I25" s="14" t="n">
        <v>0</v>
      </c>
      <c r="J25" s="16" t="n">
        <v>3</v>
      </c>
      <c r="K25" s="14" t="n">
        <v>9</v>
      </c>
      <c r="L25" s="7" t="n"/>
      <c r="M25" s="7" t="n"/>
    </row>
    <row r="26">
      <c r="A26" s="14" t="n">
        <v>10</v>
      </c>
      <c r="B26" s="14" t="inlineStr">
        <is>
          <t>IT</t>
        </is>
      </c>
      <c r="C26" s="14" t="inlineStr">
        <is>
          <t>Graph Display</t>
        </is>
      </c>
      <c r="D26" s="14" t="inlineStr">
        <is>
          <t>Feature</t>
        </is>
      </c>
      <c r="E26" s="15" t="inlineStr">
        <is>
          <t>History Data Selection</t>
        </is>
      </c>
      <c r="F26" s="14" t="inlineStr">
        <is>
          <t>Filter history by Mixer, Date/Time, Batch No./ID with paged results.</t>
        </is>
      </c>
      <c r="G26" s="14" t="n">
        <v>0</v>
      </c>
      <c r="H26" s="14" t="n">
        <v>0</v>
      </c>
      <c r="I26" s="14" t="n">
        <v>0</v>
      </c>
      <c r="J26" s="16" t="n">
        <v>2</v>
      </c>
      <c r="K26" s="14" t="n">
        <v>6</v>
      </c>
      <c r="L26" s="7" t="n"/>
      <c r="M26" s="7" t="n"/>
    </row>
    <row r="27">
      <c r="A27" s="14" t="n">
        <v>11</v>
      </c>
      <c r="B27" s="14" t="inlineStr">
        <is>
          <t>IT</t>
        </is>
      </c>
      <c r="C27" s="14" t="inlineStr">
        <is>
          <t>Graph Display</t>
        </is>
      </c>
      <c r="D27" s="14" t="inlineStr">
        <is>
          <t>Feature</t>
        </is>
      </c>
      <c r="E27" s="15" t="inlineStr">
        <is>
          <t>Multi-batch Comparison</t>
        </is>
      </c>
      <c r="F27" s="14" t="inlineStr">
        <is>
          <t>Superimpose trend graphs of multiple selected batches on single chart.</t>
        </is>
      </c>
      <c r="G27" s="14" t="n">
        <v>0</v>
      </c>
      <c r="H27" s="14" t="n">
        <v>0</v>
      </c>
      <c r="I27" s="14" t="n">
        <v>0</v>
      </c>
      <c r="J27" s="16" t="n">
        <v>4</v>
      </c>
      <c r="K27" s="14" t="n">
        <v>12</v>
      </c>
      <c r="L27" s="7" t="n"/>
      <c r="M27" s="7" t="n"/>
    </row>
    <row r="28">
      <c r="A28" s="14" t="n">
        <v>12</v>
      </c>
      <c r="B28" s="14" t="inlineStr">
        <is>
          <t>IT</t>
        </is>
      </c>
      <c r="C28" s="14" t="inlineStr">
        <is>
          <t>Process Screen</t>
        </is>
      </c>
      <c r="D28" s="14" t="inlineStr">
        <is>
          <t>UI</t>
        </is>
      </c>
      <c r="E28" s="15" t="inlineStr">
        <is>
          <t>Process Screen – RT Tag Display</t>
        </is>
      </c>
      <c r="F28" s="14" t="inlineStr">
        <is>
          <t>Configurable process screen showing real-time PLC tag values.</t>
        </is>
      </c>
      <c r="G28" s="14" t="n">
        <v>0</v>
      </c>
      <c r="H28" s="14" t="n">
        <v>0</v>
      </c>
      <c r="I28" s="14" t="n">
        <v>0</v>
      </c>
      <c r="J28" s="16" t="n">
        <v>3</v>
      </c>
      <c r="K28" s="14" t="n">
        <v>9</v>
      </c>
      <c r="L28" s="7" t="n"/>
      <c r="M28" s="7" t="n"/>
    </row>
    <row r="29">
      <c r="A29" s="14" t="n">
        <v>13</v>
      </c>
      <c r="B29" s="14" t="inlineStr">
        <is>
          <t>IT</t>
        </is>
      </c>
      <c r="C29" s="14" t="inlineStr">
        <is>
          <t>Process Screen</t>
        </is>
      </c>
      <c r="D29" s="14" t="inlineStr">
        <is>
          <t>UI</t>
        </is>
      </c>
      <c r="E29" s="15" t="inlineStr">
        <is>
          <t>Real-time Parameter Grid</t>
        </is>
      </c>
      <c r="F29" s="14" t="inlineStr">
        <is>
          <t>Grid of real-time parameter values with user-configurable columns.</t>
        </is>
      </c>
      <c r="G29" s="14" t="n">
        <v>0</v>
      </c>
      <c r="H29" s="14" t="n">
        <v>0</v>
      </c>
      <c r="I29" s="14" t="n">
        <v>0</v>
      </c>
      <c r="J29" s="16" t="n">
        <v>2</v>
      </c>
      <c r="K29" s="14" t="n">
        <v>6</v>
      </c>
      <c r="L29" s="7" t="n"/>
      <c r="M29" s="7" t="n"/>
    </row>
    <row r="30">
      <c r="A30" s="14" t="n">
        <v>14</v>
      </c>
      <c r="B30" s="14" t="inlineStr">
        <is>
          <t>IT</t>
        </is>
      </c>
      <c r="C30" s="14" t="inlineStr">
        <is>
          <t>User Mgmt</t>
        </is>
      </c>
      <c r="D30" s="14" t="inlineStr">
        <is>
          <t>Feature</t>
        </is>
      </c>
      <c r="E30" s="15" t="inlineStr">
        <is>
          <t>Role-based User Management</t>
        </is>
      </c>
      <c r="F30" s="14" t="inlineStr">
        <is>
          <t>Admin/Operator/Viewer roles. Login, session, password management.</t>
        </is>
      </c>
      <c r="G30" s="14" t="n">
        <v>0</v>
      </c>
      <c r="H30" s="14" t="n">
        <v>0</v>
      </c>
      <c r="I30" s="14" t="n">
        <v>0</v>
      </c>
      <c r="J30" s="16" t="n">
        <v>3</v>
      </c>
      <c r="K30" s="14" t="n">
        <v>9</v>
      </c>
      <c r="L30" s="7" t="n"/>
      <c r="M30" s="7" t="n"/>
    </row>
    <row r="31">
      <c r="A31" s="14" t="n">
        <v>15</v>
      </c>
      <c r="B31" s="14" t="inlineStr">
        <is>
          <t>IT</t>
        </is>
      </c>
      <c r="C31" s="14" t="inlineStr">
        <is>
          <t>Licensing</t>
        </is>
      </c>
      <c r="D31" s="14" t="inlineStr">
        <is>
          <t>Feature</t>
        </is>
      </c>
      <c r="E31" s="15" t="inlineStr">
        <is>
          <t>Perpetual License – HW Binding</t>
        </is>
      </c>
      <c r="F31" s="14" t="inlineStr">
        <is>
          <t>License module: generate, validate, enforce Machine ID-bound license.</t>
        </is>
      </c>
      <c r="G31" s="14" t="n">
        <v>0</v>
      </c>
      <c r="H31" s="14" t="n">
        <v>0</v>
      </c>
      <c r="I31" s="14" t="n">
        <v>0</v>
      </c>
      <c r="J31" s="16" t="n">
        <v>3</v>
      </c>
      <c r="K31" s="14" t="n">
        <v>9</v>
      </c>
      <c r="L31" s="7" t="n"/>
      <c r="M31" s="7" t="n"/>
    </row>
    <row r="32">
      <c r="A32" s="14" t="n">
        <v>16</v>
      </c>
      <c r="B32" s="14" t="inlineStr">
        <is>
          <t>IT</t>
        </is>
      </c>
      <c r="C32" s="14" t="inlineStr">
        <is>
          <t>System</t>
        </is>
      </c>
      <c r="D32" s="14" t="inlineStr">
        <is>
          <t>Non-functional</t>
        </is>
      </c>
      <c r="E32" s="15" t="inlineStr">
        <is>
          <t>Web App Framework Setup</t>
        </is>
      </c>
      <c r="F32" s="14" t="inlineStr">
        <is>
          <t>React JS + .NET scaffold, IIS/Docker hosting, remote web access config.</t>
        </is>
      </c>
      <c r="G32" s="14" t="n">
        <v>0</v>
      </c>
      <c r="H32" s="14" t="n">
        <v>0</v>
      </c>
      <c r="I32" s="14" t="n">
        <v>0</v>
      </c>
      <c r="J32" s="16" t="n">
        <v>2</v>
      </c>
      <c r="K32" s="14" t="n">
        <v>6</v>
      </c>
      <c r="L32" s="7" t="n"/>
      <c r="M32" s="7" t="n"/>
    </row>
    <row r="33">
      <c r="A33" s="14" t="n">
        <v>17</v>
      </c>
      <c r="B33" s="14" t="inlineStr">
        <is>
          <t>IT</t>
        </is>
      </c>
      <c r="C33" s="14" t="inlineStr">
        <is>
          <t>Language</t>
        </is>
      </c>
      <c r="D33" s="14" t="inlineStr">
        <is>
          <t>Non-functional</t>
        </is>
      </c>
      <c r="E33" s="15" t="inlineStr">
        <is>
          <t>DE/EN Language Support</t>
        </is>
      </c>
      <c r="F33" s="14" t="inlineStr">
        <is>
          <t>i18n integration, German/English translation files, language toggle UI.</t>
        </is>
      </c>
      <c r="G33" s="14" t="n">
        <v>0</v>
      </c>
      <c r="H33" s="14" t="n">
        <v>0</v>
      </c>
      <c r="I33" s="14" t="n">
        <v>0</v>
      </c>
      <c r="J33" s="16" t="n">
        <v>2</v>
      </c>
      <c r="K33" s="14" t="n">
        <v>6</v>
      </c>
      <c r="L33" s="7" t="n"/>
      <c r="M33" s="7" t="n"/>
    </row>
    <row r="34">
      <c r="A34" s="14" t="n">
        <v>18</v>
      </c>
      <c r="B34" s="14" t="inlineStr">
        <is>
          <t>IT</t>
        </is>
      </c>
      <c r="C34" s="14" t="inlineStr">
        <is>
          <t>Recipe Mgmt</t>
        </is>
      </c>
      <c r="D34" s="14" t="inlineStr">
        <is>
          <t>Feature</t>
        </is>
      </c>
      <c r="E34" s="15" t="inlineStr">
        <is>
          <t>Recipe Management Module</t>
        </is>
      </c>
      <c r="F34" s="14" t="inlineStr">
        <is>
          <t>Create/edit/activate/version recipes. Link to Mixer. (Phase 2)</t>
        </is>
      </c>
      <c r="G34" s="14" t="n">
        <v>0</v>
      </c>
      <c r="H34" s="14" t="n">
        <v>0</v>
      </c>
      <c r="I34" s="14" t="n">
        <v>0</v>
      </c>
      <c r="J34" s="16" t="n">
        <v>4</v>
      </c>
      <c r="K34" s="14" t="n">
        <v>12</v>
      </c>
      <c r="L34" s="7" t="n"/>
      <c r="M34" s="7" t="n"/>
    </row>
    <row r="35">
      <c r="A35" s="14" t="n">
        <v>19</v>
      </c>
      <c r="B35" s="14" t="inlineStr">
        <is>
          <t>IT</t>
        </is>
      </c>
      <c r="C35" s="14" t="inlineStr">
        <is>
          <t>Production</t>
        </is>
      </c>
      <c r="D35" s="14" t="inlineStr">
        <is>
          <t>Feature</t>
        </is>
      </c>
      <c r="E35" s="15" t="inlineStr">
        <is>
          <t>Production Order Management</t>
        </is>
      </c>
      <c r="F35" s="14" t="inlineStr">
        <is>
          <t>Create/track/close production orders. Link to recipe/mixer. (Phase 2)</t>
        </is>
      </c>
      <c r="G35" s="14" t="n">
        <v>0</v>
      </c>
      <c r="H35" s="14" t="n">
        <v>0</v>
      </c>
      <c r="I35" s="14" t="n">
        <v>0</v>
      </c>
      <c r="J35" s="16" t="n">
        <v>3</v>
      </c>
      <c r="K35" s="14" t="n">
        <v>9</v>
      </c>
      <c r="L35" s="7" t="n"/>
      <c r="M35" s="7" t="n"/>
    </row>
    <row r="36">
      <c r="A36" s="14" t="n">
        <v>20</v>
      </c>
      <c r="B36" s="14" t="inlineStr">
        <is>
          <t>IT</t>
        </is>
      </c>
      <c r="C36" s="14" t="inlineStr">
        <is>
          <t>Integration</t>
        </is>
      </c>
      <c r="D36" s="14" t="inlineStr">
        <is>
          <t>Integration</t>
        </is>
      </c>
      <c r="E36" s="15" t="inlineStr">
        <is>
          <t>PLC Order/Recipe Transfer</t>
        </is>
      </c>
      <c r="F36" s="14" t="inlineStr">
        <is>
          <t>Write production order/recipe to PLC via OPC UA, handle ACK/status. (Phase 2)</t>
        </is>
      </c>
      <c r="G36" s="14" t="n">
        <v>0</v>
      </c>
      <c r="H36" s="14" t="n">
        <v>0</v>
      </c>
      <c r="I36" s="14" t="n">
        <v>1</v>
      </c>
      <c r="J36" s="16" t="n">
        <v>4</v>
      </c>
      <c r="K36" s="14" t="n">
        <v>18</v>
      </c>
      <c r="L36" s="7" t="n"/>
      <c r="M36" s="7" t="n"/>
    </row>
    <row r="37">
      <c r="A37" s="14" t="n">
        <v>21</v>
      </c>
      <c r="B37" s="14" t="inlineStr">
        <is>
          <t>IT</t>
        </is>
      </c>
      <c r="C37" s="14" t="inlineStr">
        <is>
          <t>Reporting</t>
        </is>
      </c>
      <c r="D37" s="14" t="inlineStr">
        <is>
          <t>Feature</t>
        </is>
      </c>
      <c r="E37" s="15" t="inlineStr">
        <is>
          <t>Batch Report Logging</t>
        </is>
      </c>
      <c r="F37" s="14" t="inlineStr">
        <is>
          <t>Capture batch summary at PLC end-of-batch event, store to DB. (Phase 2)</t>
        </is>
      </c>
      <c r="G37" s="14" t="n">
        <v>0</v>
      </c>
      <c r="H37" s="14" t="n">
        <v>0</v>
      </c>
      <c r="I37" s="14" t="n">
        <v>0</v>
      </c>
      <c r="J37" s="16" t="n">
        <v>3</v>
      </c>
      <c r="K37" s="14" t="n">
        <v>9</v>
      </c>
      <c r="L37" s="7" t="n"/>
      <c r="M37" s="7" t="n"/>
    </row>
    <row r="38">
      <c r="A38" s="14" t="n">
        <v>22</v>
      </c>
      <c r="B38" s="14" t="inlineStr">
        <is>
          <t>IT</t>
        </is>
      </c>
      <c r="C38" s="14" t="inlineStr">
        <is>
          <t>Reporting</t>
        </is>
      </c>
      <c r="D38" s="14" t="inlineStr">
        <is>
          <t>UI</t>
        </is>
      </c>
      <c r="E38" s="15" t="inlineStr">
        <is>
          <t>Batch Report Display</t>
        </is>
      </c>
      <c r="F38" s="14" t="inlineStr">
        <is>
          <t>View, filter, export batch reports in table and chart format. (Phase 2)</t>
        </is>
      </c>
      <c r="G38" s="14" t="n">
        <v>0</v>
      </c>
      <c r="H38" s="14" t="n">
        <v>0</v>
      </c>
      <c r="I38" s="14" t="n">
        <v>0</v>
      </c>
      <c r="J38" s="16" t="n">
        <v>3</v>
      </c>
      <c r="K38" s="14" t="n">
        <v>9</v>
      </c>
      <c r="L38" s="7" t="n"/>
      <c r="M38" s="7" t="n"/>
    </row>
    <row r="39">
      <c r="A39" s="14" t="n">
        <v>23</v>
      </c>
      <c r="B39" s="14" t="n"/>
      <c r="C39" s="14" t="n"/>
      <c r="D39" s="14" t="n"/>
      <c r="E39" s="15" t="n"/>
      <c r="F39" s="14" t="n"/>
      <c r="G39" s="14" t="n"/>
      <c r="H39" s="14" t="n"/>
      <c r="I39" s="14" t="n"/>
      <c r="J39" s="16" t="n"/>
      <c r="K39" s="14">
        <f>Table1[[#This Row],[Complexity]]*$A$11+SUM(Table1[[#This Row],[Other 
Integration]:[OEM 
Integration]])*$C$11</f>
        <v/>
      </c>
      <c r="L39" s="7" t="n"/>
      <c r="M39" s="7" t="n"/>
    </row>
    <row r="40">
      <c r="A40" s="14" t="n">
        <v>24</v>
      </c>
      <c r="B40" s="14" t="n"/>
      <c r="C40" s="14" t="n"/>
      <c r="D40" s="14" t="n"/>
      <c r="E40" s="15" t="n"/>
      <c r="F40" s="14" t="n"/>
      <c r="G40" s="14" t="n"/>
      <c r="H40" s="14" t="n"/>
      <c r="I40" s="14" t="n"/>
      <c r="J40" s="16" t="n"/>
      <c r="K40" s="14">
        <f>Table1[[#This Row],[Complexity]]*$A$11+SUM(Table1[[#This Row],[Other 
Integration]:[OEM 
Integration]])*$C$11</f>
        <v/>
      </c>
      <c r="L40" s="7" t="n"/>
      <c r="M40" s="7" t="n"/>
    </row>
    <row r="41">
      <c r="A41" s="14" t="n">
        <v>25</v>
      </c>
      <c r="B41" s="14" t="n"/>
      <c r="C41" s="14" t="n"/>
      <c r="D41" s="14" t="n"/>
      <c r="E41" s="15" t="n"/>
      <c r="F41" s="14" t="n"/>
      <c r="G41" s="14" t="n"/>
      <c r="H41" s="14" t="n"/>
      <c r="I41" s="14" t="n"/>
      <c r="J41" s="16" t="n"/>
      <c r="K41" s="14">
        <f>Table1[[#This Row],[Complexity]]*$A$11+SUM(Table1[[#This Row],[Other 
Integration]:[OEM 
Integration]])*$C$11</f>
        <v/>
      </c>
      <c r="L41" s="7" t="n"/>
      <c r="M41" s="7" t="n"/>
    </row>
    <row r="42">
      <c r="A42" s="14" t="n">
        <v>26</v>
      </c>
      <c r="B42" s="14" t="n"/>
      <c r="C42" s="14" t="n"/>
      <c r="D42" s="14" t="n"/>
      <c r="E42" s="15" t="n"/>
      <c r="F42" s="14" t="n"/>
      <c r="G42" s="14" t="n"/>
      <c r="H42" s="14" t="n"/>
      <c r="I42" s="14" t="n"/>
      <c r="J42" s="16" t="n"/>
      <c r="K42" s="14">
        <f>Table1[[#This Row],[Complexity]]*$A$11+SUM(Table1[[#This Row],[Other 
Integration]:[OEM 
Integration]])*$C$11</f>
        <v/>
      </c>
      <c r="L42" s="7" t="n"/>
      <c r="M42" s="7" t="n"/>
    </row>
    <row r="43">
      <c r="A43" s="14" t="n">
        <v>27</v>
      </c>
      <c r="B43" s="14" t="n"/>
      <c r="C43" s="14" t="n"/>
      <c r="D43" s="14" t="n"/>
      <c r="E43" s="15" t="n"/>
      <c r="F43" s="14" t="n"/>
      <c r="G43" s="14" t="n"/>
      <c r="H43" s="14" t="n"/>
      <c r="I43" s="14" t="n"/>
      <c r="J43" s="16" t="n"/>
      <c r="K43" s="14">
        <f>Table1[[#This Row],[Complexity]]*$A$11+SUM(Table1[[#This Row],[Other 
Integration]:[OEM 
Integration]])*$C$11</f>
        <v/>
      </c>
      <c r="L43" s="7" t="n"/>
      <c r="M43" s="7" t="n"/>
    </row>
    <row r="44">
      <c r="A44" s="14" t="n">
        <v>28</v>
      </c>
      <c r="B44" s="14" t="n"/>
      <c r="C44" s="14" t="n"/>
      <c r="D44" s="14" t="n"/>
      <c r="E44" s="15" t="n"/>
      <c r="F44" s="14" t="n"/>
      <c r="G44" s="14" t="n"/>
      <c r="H44" s="14" t="n"/>
      <c r="I44" s="14" t="n"/>
      <c r="J44" s="16" t="n"/>
      <c r="K44" s="14">
        <f>Table1[[#This Row],[Complexity]]*$A$11+SUM(Table1[[#This Row],[Other 
Integration]:[OEM 
Integration]])*$C$11</f>
        <v/>
      </c>
      <c r="L44" s="7" t="n"/>
      <c r="M44" s="7" t="n"/>
    </row>
    <row r="45">
      <c r="A45" s="14" t="n">
        <v>29</v>
      </c>
      <c r="B45" s="14" t="n"/>
      <c r="C45" s="14" t="n"/>
      <c r="D45" s="14" t="n"/>
      <c r="E45" s="15" t="n"/>
      <c r="F45" s="14" t="n"/>
      <c r="G45" s="14" t="n"/>
      <c r="H45" s="14" t="n"/>
      <c r="I45" s="14" t="n"/>
      <c r="J45" s="16" t="n"/>
      <c r="K45" s="14">
        <f>Table1[[#This Row],[Complexity]]*$A$11+SUM(Table1[[#This Row],[Other 
Integration]:[OEM 
Integration]])*$C$11</f>
        <v/>
      </c>
      <c r="L45" s="7" t="n"/>
      <c r="M45" s="7" t="n"/>
    </row>
    <row r="46">
      <c r="A46" s="14" t="n">
        <v>30</v>
      </c>
      <c r="B46" s="14" t="n"/>
      <c r="C46" s="14" t="n"/>
      <c r="D46" s="14" t="n"/>
      <c r="E46" s="15" t="n"/>
      <c r="F46" s="14" t="n"/>
      <c r="G46" s="14" t="n"/>
      <c r="H46" s="14" t="n"/>
      <c r="I46" s="14" t="n"/>
      <c r="J46" s="16" t="n"/>
      <c r="K46" s="14">
        <f>Table1[[#This Row],[Complexity]]*$A$11+SUM(Table1[[#This Row],[Other 
Integration]:[OEM 
Integration]])*$C$11</f>
        <v/>
      </c>
      <c r="L46" s="7" t="n"/>
      <c r="M46" s="7" t="n"/>
    </row>
    <row r="47">
      <c r="A47" s="14" t="n">
        <v>31</v>
      </c>
      <c r="B47" s="14" t="n"/>
      <c r="C47" s="14" t="n"/>
      <c r="D47" s="14" t="n"/>
      <c r="E47" s="15" t="n"/>
      <c r="F47" s="14" t="n"/>
      <c r="G47" s="14" t="n"/>
      <c r="H47" s="14" t="n"/>
      <c r="I47" s="14" t="n"/>
      <c r="J47" s="16" t="n"/>
      <c r="K47" s="14">
        <f>Table1[[#This Row],[Complexity]]*$A$11+SUM(Table1[[#This Row],[Other 
Integration]:[OEM 
Integration]])*$C$11</f>
        <v/>
      </c>
      <c r="L47" s="7" t="n"/>
      <c r="M47" s="7" t="n"/>
    </row>
    <row r="48">
      <c r="A48" s="14" t="n">
        <v>32</v>
      </c>
      <c r="B48" s="14" t="n"/>
      <c r="C48" s="14" t="n"/>
      <c r="D48" s="14" t="n"/>
      <c r="E48" s="15" t="n"/>
      <c r="F48" s="14" t="n"/>
      <c r="G48" s="14" t="n"/>
      <c r="H48" s="14" t="n"/>
      <c r="I48" s="14" t="n"/>
      <c r="J48" s="16" t="n"/>
      <c r="K48" s="14">
        <f>Table1[[#This Row],[Complexity]]*$A$11+SUM(Table1[[#This Row],[Other 
Integration]:[OEM 
Integration]])*$C$11</f>
        <v/>
      </c>
      <c r="L48" s="7" t="n"/>
      <c r="M48" s="7" t="n"/>
    </row>
    <row r="49">
      <c r="A49" s="14" t="n">
        <v>33</v>
      </c>
      <c r="B49" s="14" t="n"/>
      <c r="C49" s="14" t="n"/>
      <c r="D49" s="14" t="n"/>
      <c r="E49" s="15" t="n"/>
      <c r="F49" s="14" t="n"/>
      <c r="G49" s="14" t="n"/>
      <c r="H49" s="14" t="n"/>
      <c r="I49" s="14" t="n"/>
      <c r="J49" s="16" t="n"/>
      <c r="K49" s="14">
        <f>Table1[[#This Row],[Complexity]]*$A$11+SUM(Table1[[#This Row],[Other 
Integration]:[OEM 
Integration]])*$C$11</f>
        <v/>
      </c>
      <c r="L49" s="7" t="n"/>
      <c r="M49" s="7" t="n"/>
    </row>
    <row r="50">
      <c r="A50" s="14" t="n">
        <v>34</v>
      </c>
      <c r="B50" s="14" t="n"/>
      <c r="C50" s="14" t="n"/>
      <c r="D50" s="14" t="n"/>
      <c r="E50" s="15" t="n"/>
      <c r="F50" s="14" t="n"/>
      <c r="G50" s="14" t="n"/>
      <c r="H50" s="14" t="n"/>
      <c r="I50" s="14" t="n"/>
      <c r="J50" s="16" t="n"/>
      <c r="K50" s="14">
        <f>Table1[[#This Row],[Complexity]]*$A$11+SUM(Table1[[#This Row],[Other 
Integration]:[OEM 
Integration]])*$C$11</f>
        <v/>
      </c>
      <c r="L50" s="7" t="n"/>
      <c r="M50" s="7" t="n"/>
    </row>
    <row r="51">
      <c r="A51" s="14" t="n">
        <v>35</v>
      </c>
      <c r="B51" s="14" t="n"/>
      <c r="C51" s="14" t="n"/>
      <c r="D51" s="14" t="n"/>
      <c r="E51" s="15" t="n"/>
      <c r="F51" s="14" t="n"/>
      <c r="G51" s="14" t="n"/>
      <c r="H51" s="14" t="n"/>
      <c r="I51" s="14" t="n"/>
      <c r="J51" s="16" t="n"/>
      <c r="K51" s="14">
        <f>Table1[[#This Row],[Complexity]]*$A$11+SUM(Table1[[#This Row],[Other 
Integration]:[OEM 
Integration]])*$C$11</f>
        <v/>
      </c>
      <c r="L51" s="7" t="n"/>
      <c r="M51" s="7" t="n"/>
    </row>
    <row r="52">
      <c r="A52" s="14" t="n">
        <v>36</v>
      </c>
      <c r="B52" s="14" t="n"/>
      <c r="C52" s="14" t="n"/>
      <c r="D52" s="14" t="n"/>
      <c r="E52" s="15" t="n"/>
      <c r="F52" s="14" t="n"/>
      <c r="G52" s="14" t="n"/>
      <c r="H52" s="14" t="n"/>
      <c r="I52" s="14" t="n"/>
      <c r="J52" s="16" t="n"/>
      <c r="K52" s="14">
        <f>Table1[[#This Row],[Complexity]]*$A$11+SUM(Table1[[#This Row],[Other 
Integration]:[OEM 
Integration]])*$C$11</f>
        <v/>
      </c>
      <c r="L52" s="7" t="n"/>
      <c r="M52" s="7" t="n"/>
    </row>
    <row r="53">
      <c r="A53" s="14" t="n">
        <v>37</v>
      </c>
      <c r="B53" s="14" t="n"/>
      <c r="C53" s="14" t="n"/>
      <c r="D53" s="14" t="n"/>
      <c r="E53" s="15" t="n"/>
      <c r="F53" s="14" t="n"/>
      <c r="G53" s="14" t="n"/>
      <c r="H53" s="14" t="n"/>
      <c r="I53" s="14" t="n"/>
      <c r="J53" s="16" t="n"/>
      <c r="K53" s="14">
        <f>Table1[[#This Row],[Complexity]]*$A$11+SUM(Table1[[#This Row],[Other 
Integration]:[OEM 
Integration]])*$C$11</f>
        <v/>
      </c>
      <c r="L53" s="7" t="n"/>
      <c r="M53" s="7" t="n"/>
    </row>
    <row r="54">
      <c r="A54" s="14" t="n">
        <v>38</v>
      </c>
      <c r="B54" s="14" t="n"/>
      <c r="C54" s="14" t="n"/>
      <c r="D54" s="14" t="n"/>
      <c r="E54" s="15" t="n"/>
      <c r="F54" s="14" t="n"/>
      <c r="G54" s="14" t="n"/>
      <c r="H54" s="14" t="n"/>
      <c r="I54" s="14" t="n"/>
      <c r="J54" s="16" t="n"/>
      <c r="K54" s="14">
        <f>Table1[[#This Row],[Complexity]]*$A$11+SUM(Table1[[#This Row],[Other 
Integration]:[OEM 
Integration]])*$C$11</f>
        <v/>
      </c>
      <c r="L54" s="7" t="n"/>
      <c r="M54" s="7" t="n"/>
    </row>
    <row r="55">
      <c r="A55" s="14" t="n">
        <v>39</v>
      </c>
      <c r="B55" s="14" t="n"/>
      <c r="C55" s="14" t="n"/>
      <c r="D55" s="14" t="n"/>
      <c r="E55" s="15" t="n"/>
      <c r="F55" s="14" t="n"/>
      <c r="G55" s="14" t="n"/>
      <c r="H55" s="14" t="n"/>
      <c r="I55" s="14" t="n"/>
      <c r="J55" s="16" t="n"/>
      <c r="K55" s="14">
        <f>Table1[[#This Row],[Complexity]]*$A$11+SUM(Table1[[#This Row],[Other 
Integration]:[OEM 
Integration]])*$C$11</f>
        <v/>
      </c>
      <c r="L55" s="7" t="n"/>
      <c r="M55" s="7" t="n"/>
    </row>
    <row r="56">
      <c r="A56" s="14" t="n">
        <v>40</v>
      </c>
      <c r="B56" s="14" t="n"/>
      <c r="C56" s="14" t="n"/>
      <c r="D56" s="14" t="n"/>
      <c r="E56" s="15" t="n"/>
      <c r="F56" s="14" t="n"/>
      <c r="G56" s="14" t="n"/>
      <c r="H56" s="14" t="n"/>
      <c r="I56" s="14" t="n"/>
      <c r="J56" s="16" t="n"/>
      <c r="K56" s="14">
        <f>Table1[[#This Row],[Complexity]]*$A$11+SUM(Table1[[#This Row],[Other 
Integration]:[OEM 
Integration]])*$C$11</f>
        <v/>
      </c>
      <c r="L56" s="7" t="n"/>
      <c r="M56" s="7" t="n"/>
    </row>
    <row r="57">
      <c r="A57" s="14" t="n">
        <v>41</v>
      </c>
      <c r="B57" s="14" t="n"/>
      <c r="C57" s="14" t="n"/>
      <c r="D57" s="14" t="n"/>
      <c r="E57" s="15" t="n"/>
      <c r="F57" s="14" t="n"/>
      <c r="G57" s="14" t="n"/>
      <c r="H57" s="14" t="n"/>
      <c r="I57" s="14" t="n"/>
      <c r="J57" s="16" t="n"/>
      <c r="K57" s="14">
        <f>Table1[[#This Row],[Complexity]]*$A$11+SUM(Table1[[#This Row],[Other 
Integration]:[OEM 
Integration]])*$C$11</f>
        <v/>
      </c>
      <c r="L57" s="7" t="n"/>
      <c r="M57" s="7" t="n"/>
    </row>
    <row r="58">
      <c r="A58" s="14" t="n">
        <v>42</v>
      </c>
      <c r="B58" s="14" t="n"/>
      <c r="C58" s="14" t="n"/>
      <c r="D58" s="14" t="n"/>
      <c r="E58" s="15" t="n"/>
      <c r="F58" s="14" t="n"/>
      <c r="G58" s="14" t="n"/>
      <c r="H58" s="14" t="n"/>
      <c r="I58" s="14" t="n"/>
      <c r="J58" s="16" t="n"/>
      <c r="K58" s="14">
        <f>Table1[[#This Row],[Complexity]]*$A$11+SUM(Table1[[#This Row],[Other 
Integration]:[OEM 
Integration]])*$C$11</f>
        <v/>
      </c>
      <c r="L58" s="7" t="n"/>
      <c r="M58" s="7" t="n"/>
    </row>
    <row r="59">
      <c r="A59" s="14" t="n">
        <v>43</v>
      </c>
      <c r="B59" s="14" t="n"/>
      <c r="C59" s="14" t="n"/>
      <c r="D59" s="14" t="n"/>
      <c r="E59" s="15" t="n"/>
      <c r="F59" s="14" t="n"/>
      <c r="G59" s="14" t="n"/>
      <c r="H59" s="14" t="n"/>
      <c r="I59" s="14" t="n"/>
      <c r="J59" s="16" t="n"/>
      <c r="K59" s="14">
        <f>Table1[[#This Row],[Complexity]]*$A$11+SUM(Table1[[#This Row],[Other 
Integration]:[OEM 
Integration]])*$C$11</f>
        <v/>
      </c>
      <c r="L59" s="7" t="n"/>
      <c r="M59" s="7" t="n"/>
    </row>
    <row r="60">
      <c r="A60" s="14" t="n">
        <v>44</v>
      </c>
      <c r="B60" s="14" t="n"/>
      <c r="C60" s="14" t="n"/>
      <c r="D60" s="14" t="n"/>
      <c r="E60" s="15" t="n"/>
      <c r="F60" s="14" t="n"/>
      <c r="G60" s="14" t="n"/>
      <c r="H60" s="14" t="n"/>
      <c r="I60" s="14" t="n"/>
      <c r="J60" s="16" t="n"/>
      <c r="K60" s="14">
        <f>Table1[[#This Row],[Complexity]]*$A$11+SUM(Table1[[#This Row],[Other 
Integration]:[OEM 
Integration]])*$C$11</f>
        <v/>
      </c>
      <c r="L60" s="7" t="n"/>
      <c r="M60" s="7" t="n"/>
    </row>
    <row r="61">
      <c r="A61" s="14" t="n">
        <v>45</v>
      </c>
      <c r="B61" s="14" t="n"/>
      <c r="C61" s="14" t="n"/>
      <c r="D61" s="14" t="n"/>
      <c r="E61" s="15" t="n"/>
      <c r="F61" s="14" t="n"/>
      <c r="G61" s="14" t="n"/>
      <c r="H61" s="14" t="n"/>
      <c r="I61" s="14" t="n"/>
      <c r="J61" s="16" t="n"/>
      <c r="K61" s="14">
        <f>Table1[[#This Row],[Complexity]]*$A$11+SUM(Table1[[#This Row],[Other 
Integration]:[OEM 
Integration]])*$C$11</f>
        <v/>
      </c>
      <c r="L61" s="7" t="n"/>
      <c r="M61" s="7" t="n"/>
    </row>
    <row r="62">
      <c r="A62" s="14" t="n">
        <v>46</v>
      </c>
      <c r="B62" s="14" t="n"/>
      <c r="C62" s="14" t="n"/>
      <c r="D62" s="14" t="n"/>
      <c r="E62" s="15" t="n"/>
      <c r="F62" s="14" t="n"/>
      <c r="G62" s="14" t="n"/>
      <c r="H62" s="14" t="n"/>
      <c r="I62" s="14" t="n"/>
      <c r="J62" s="16" t="n"/>
      <c r="K62" s="14">
        <f>Table1[[#This Row],[Complexity]]*$A$11+SUM(Table1[[#This Row],[Other 
Integration]:[OEM 
Integration]])*$C$11</f>
        <v/>
      </c>
      <c r="L62" s="7" t="n"/>
      <c r="M62" s="7" t="n"/>
    </row>
    <row r="63">
      <c r="A63" s="14" t="n">
        <v>47</v>
      </c>
      <c r="B63" s="14" t="n"/>
      <c r="C63" s="14" t="n"/>
      <c r="D63" s="14" t="n"/>
      <c r="E63" s="15" t="n"/>
      <c r="F63" s="14" t="n"/>
      <c r="G63" s="14" t="n"/>
      <c r="H63" s="14" t="n"/>
      <c r="I63" s="14" t="n"/>
      <c r="J63" s="16" t="n"/>
      <c r="K63" s="14">
        <f>Table1[[#This Row],[Complexity]]*$A$11+SUM(Table1[[#This Row],[Other 
Integration]:[OEM 
Integration]])*$C$11</f>
        <v/>
      </c>
      <c r="L63" s="7" t="n"/>
      <c r="M63" s="7" t="n"/>
    </row>
    <row r="64">
      <c r="A64" s="14" t="n">
        <v>48</v>
      </c>
      <c r="B64" s="14" t="n"/>
      <c r="C64" s="14" t="n"/>
      <c r="D64" s="14" t="n"/>
      <c r="E64" s="15" t="n"/>
      <c r="F64" s="14" t="n"/>
      <c r="G64" s="14" t="n"/>
      <c r="H64" s="14" t="n"/>
      <c r="I64" s="14" t="n"/>
      <c r="J64" s="16" t="n"/>
      <c r="K64" s="14">
        <f>Table1[[#This Row],[Complexity]]*$A$11+SUM(Table1[[#This Row],[Other 
Integration]:[OEM 
Integration]])*$C$11</f>
        <v/>
      </c>
      <c r="L64" s="7" t="n"/>
      <c r="M64" s="7" t="n"/>
    </row>
    <row r="65">
      <c r="A65" s="14" t="n">
        <v>49</v>
      </c>
      <c r="B65" s="14" t="n"/>
      <c r="C65" s="14" t="n"/>
      <c r="D65" s="14" t="n"/>
      <c r="E65" s="15" t="n"/>
      <c r="F65" s="14" t="n"/>
      <c r="G65" s="14" t="n"/>
      <c r="H65" s="14" t="n"/>
      <c r="I65" s="14" t="n"/>
      <c r="J65" s="16" t="n"/>
      <c r="K65" s="14">
        <f>Table1[[#This Row],[Complexity]]*$A$11+SUM(Table1[[#This Row],[Other 
Integration]:[OEM 
Integration]])*$C$11</f>
        <v/>
      </c>
      <c r="L65" s="7" t="n"/>
      <c r="M65" s="7" t="n"/>
    </row>
    <row r="66">
      <c r="A66" s="14" t="n">
        <v>50</v>
      </c>
      <c r="B66" s="14" t="n"/>
      <c r="C66" s="14" t="n"/>
      <c r="D66" s="14" t="n"/>
      <c r="E66" s="15" t="n"/>
      <c r="F66" s="14" t="n"/>
      <c r="G66" s="14" t="n"/>
      <c r="H66" s="14" t="n"/>
      <c r="I66" s="14" t="n"/>
      <c r="J66" s="16" t="n"/>
      <c r="K66" s="14">
        <f>Table1[[#This Row],[Complexity]]*$A$11+SUM(Table1[[#This Row],[Other 
Integration]:[OEM 
Integration]])*$C$11</f>
        <v/>
      </c>
      <c r="L66" s="7" t="n"/>
      <c r="M66" s="7" t="n"/>
    </row>
    <row r="67">
      <c r="A67" s="14" t="n">
        <v>51</v>
      </c>
      <c r="B67" s="14" t="n"/>
      <c r="C67" s="14" t="n"/>
      <c r="D67" s="14" t="n"/>
      <c r="E67" s="15" t="n"/>
      <c r="F67" s="14" t="n"/>
      <c r="G67" s="14" t="n"/>
      <c r="H67" s="14" t="n"/>
      <c r="I67" s="14" t="n"/>
      <c r="J67" s="16" t="n"/>
      <c r="K67" s="14">
        <f>Table1[[#This Row],[Complexity]]*$A$11+SUM(Table1[[#This Row],[Other 
Integration]:[OEM 
Integration]])*$C$11</f>
        <v/>
      </c>
      <c r="L67" s="7" t="n"/>
      <c r="M67" s="7" t="n"/>
    </row>
    <row r="68">
      <c r="A68" s="14" t="n">
        <v>52</v>
      </c>
      <c r="B68" s="14" t="n"/>
      <c r="C68" s="14" t="n"/>
      <c r="D68" s="14" t="n"/>
      <c r="E68" s="15" t="n"/>
      <c r="F68" s="14" t="n"/>
      <c r="G68" s="14" t="n"/>
      <c r="H68" s="14" t="n"/>
      <c r="I68" s="14" t="n"/>
      <c r="J68" s="16" t="n"/>
      <c r="K68" s="14">
        <f>Table1[[#This Row],[Complexity]]*$A$11+SUM(Table1[[#This Row],[Other 
Integration]:[OEM 
Integration]])*$C$11</f>
        <v/>
      </c>
      <c r="L68" s="7" t="n"/>
      <c r="M68" s="7" t="n"/>
    </row>
    <row r="69">
      <c r="A69" s="14" t="n">
        <v>53</v>
      </c>
      <c r="B69" s="14" t="n"/>
      <c r="C69" s="14" t="n"/>
      <c r="D69" s="14" t="n"/>
      <c r="E69" s="15" t="n"/>
      <c r="F69" s="14" t="n"/>
      <c r="G69" s="14" t="n"/>
      <c r="H69" s="14" t="n"/>
      <c r="I69" s="14" t="n"/>
      <c r="J69" s="16" t="n"/>
      <c r="K69" s="14">
        <f>Table1[[#This Row],[Complexity]]*$A$11+SUM(Table1[[#This Row],[Other 
Integration]:[OEM 
Integration]])*$C$11</f>
        <v/>
      </c>
      <c r="L69" s="7" t="n"/>
      <c r="M69" s="7" t="n"/>
    </row>
    <row r="70">
      <c r="A70" s="14" t="n">
        <v>54</v>
      </c>
      <c r="B70" s="14" t="n"/>
      <c r="C70" s="14" t="n"/>
      <c r="D70" s="14" t="n"/>
      <c r="E70" s="15" t="n"/>
      <c r="F70" s="14" t="n"/>
      <c r="G70" s="14" t="n"/>
      <c r="H70" s="14" t="n"/>
      <c r="I70" s="14" t="n"/>
      <c r="J70" s="16" t="n"/>
      <c r="K70" s="14">
        <f>Table1[[#This Row],[Complexity]]*$A$11+SUM(Table1[[#This Row],[Other 
Integration]:[OEM 
Integration]])*$C$11</f>
        <v/>
      </c>
      <c r="L70" s="7" t="n"/>
      <c r="M70" s="7" t="n"/>
    </row>
    <row r="71">
      <c r="A71" s="14" t="n">
        <v>55</v>
      </c>
      <c r="B71" s="14" t="n"/>
      <c r="C71" s="14" t="n"/>
      <c r="D71" s="14" t="n"/>
      <c r="E71" s="15" t="n"/>
      <c r="F71" s="14" t="n"/>
      <c r="G71" s="14" t="n"/>
      <c r="H71" s="14" t="n"/>
      <c r="I71" s="14" t="n"/>
      <c r="J71" s="16" t="n"/>
      <c r="K71" s="14">
        <f>Table1[[#This Row],[Complexity]]*$A$11+SUM(Table1[[#This Row],[Other 
Integration]:[OEM 
Integration]])*$C$11</f>
        <v/>
      </c>
      <c r="L71" s="7" t="n"/>
      <c r="M71" s="7" t="n"/>
    </row>
    <row r="72">
      <c r="A72" s="14" t="n">
        <v>56</v>
      </c>
      <c r="B72" s="14" t="n"/>
      <c r="C72" s="14" t="n"/>
      <c r="D72" s="14" t="n"/>
      <c r="E72" s="15" t="n"/>
      <c r="F72" s="14" t="n"/>
      <c r="G72" s="14" t="n"/>
      <c r="H72" s="14" t="n"/>
      <c r="I72" s="14" t="n"/>
      <c r="J72" s="16" t="n"/>
      <c r="K72" s="14">
        <f>Table1[[#This Row],[Complexity]]*$A$11+SUM(Table1[[#This Row],[Other 
Integration]:[OEM 
Integration]])*$C$11</f>
        <v/>
      </c>
      <c r="L72" s="7" t="n"/>
      <c r="M72" s="7" t="n"/>
    </row>
    <row r="73">
      <c r="A73" s="14" t="n">
        <v>57</v>
      </c>
      <c r="B73" s="14" t="n"/>
      <c r="C73" s="14" t="n"/>
      <c r="D73" s="14" t="n"/>
      <c r="E73" s="15" t="n"/>
      <c r="F73" s="14" t="n"/>
      <c r="G73" s="14" t="n"/>
      <c r="H73" s="14" t="n"/>
      <c r="I73" s="14" t="n"/>
      <c r="J73" s="16" t="n"/>
      <c r="K73" s="14">
        <f>Table1[[#This Row],[Complexity]]*$A$11+SUM(Table1[[#This Row],[Other 
Integration]:[OEM 
Integration]])*$C$11</f>
        <v/>
      </c>
      <c r="L73" s="7" t="n"/>
      <c r="M73" s="7" t="n"/>
    </row>
    <row r="74">
      <c r="A74" s="14" t="n">
        <v>58</v>
      </c>
      <c r="B74" s="14" t="n"/>
      <c r="C74" s="14" t="n"/>
      <c r="D74" s="14" t="n"/>
      <c r="E74" s="15" t="n"/>
      <c r="F74" s="14" t="n"/>
      <c r="G74" s="14" t="n"/>
      <c r="H74" s="14" t="n"/>
      <c r="I74" s="14" t="n"/>
      <c r="J74" s="16" t="n"/>
      <c r="K74" s="14">
        <f>Table1[[#This Row],[Complexity]]*$A$11+SUM(Table1[[#This Row],[Other 
Integration]:[OEM 
Integration]])*$C$11</f>
        <v/>
      </c>
      <c r="L74" s="7" t="n"/>
      <c r="M74" s="7" t="n"/>
    </row>
    <row r="75">
      <c r="A75" s="14" t="n">
        <v>59</v>
      </c>
      <c r="B75" s="14" t="n"/>
      <c r="C75" s="14" t="n"/>
      <c r="D75" s="14" t="n"/>
      <c r="E75" s="15" t="n"/>
      <c r="F75" s="14" t="n"/>
      <c r="G75" s="14" t="n"/>
      <c r="H75" s="14" t="n"/>
      <c r="I75" s="14" t="n"/>
      <c r="J75" s="16" t="n"/>
      <c r="K75" s="14">
        <f>Table1[[#This Row],[Complexity]]*$A$11+SUM(Table1[[#This Row],[Other 
Integration]:[OEM 
Integration]])*$C$11</f>
        <v/>
      </c>
      <c r="L75" s="7" t="n"/>
      <c r="M75" s="7" t="n"/>
    </row>
    <row r="76">
      <c r="A76" s="14" t="n">
        <v>60</v>
      </c>
      <c r="B76" s="14" t="n"/>
      <c r="C76" s="14" t="n"/>
      <c r="D76" s="14" t="n"/>
      <c r="E76" s="15" t="n"/>
      <c r="F76" s="14" t="n"/>
      <c r="G76" s="14" t="n"/>
      <c r="H76" s="14" t="n"/>
      <c r="I76" s="14" t="n"/>
      <c r="J76" s="16" t="n"/>
      <c r="K76" s="14">
        <f>Table1[[#This Row],[Complexity]]*$A$11+SUM(Table1[[#This Row],[Other 
Integration]:[OEM 
Integration]])*$C$11</f>
        <v/>
      </c>
      <c r="L76" s="7" t="n"/>
      <c r="M76" s="7" t="n"/>
    </row>
    <row r="77">
      <c r="A77" s="14" t="n">
        <v>61</v>
      </c>
      <c r="B77" s="14" t="n"/>
      <c r="C77" s="14" t="n"/>
      <c r="D77" s="14" t="n"/>
      <c r="E77" s="15" t="n"/>
      <c r="F77" s="14" t="n"/>
      <c r="G77" s="14" t="n"/>
      <c r="H77" s="14" t="n"/>
      <c r="I77" s="14" t="n"/>
      <c r="J77" s="16" t="n"/>
      <c r="K77" s="14">
        <f>Table1[[#This Row],[Complexity]]*$A$11+SUM(Table1[[#This Row],[Other 
Integration]:[OEM 
Integration]])*$C$11</f>
        <v/>
      </c>
      <c r="L77" s="7" t="n"/>
      <c r="M77" s="7" t="n"/>
    </row>
    <row r="78">
      <c r="A78" s="14" t="n">
        <v>62</v>
      </c>
      <c r="B78" s="14" t="n"/>
      <c r="C78" s="14" t="n"/>
      <c r="D78" s="14" t="n"/>
      <c r="E78" s="15" t="n"/>
      <c r="F78" s="14" t="n"/>
      <c r="G78" s="14" t="n"/>
      <c r="H78" s="14" t="n"/>
      <c r="I78" s="14" t="n"/>
      <c r="J78" s="16" t="n"/>
      <c r="K78" s="14">
        <f>Table1[[#This Row],[Complexity]]*$A$11+SUM(Table1[[#This Row],[Other 
Integration]:[OEM 
Integration]])*$C$11</f>
        <v/>
      </c>
      <c r="L78" s="7" t="n"/>
      <c r="M78" s="7" t="n"/>
    </row>
    <row r="79">
      <c r="A79" s="14" t="n">
        <v>63</v>
      </c>
      <c r="B79" s="14" t="n"/>
      <c r="C79" s="14" t="n"/>
      <c r="D79" s="14" t="n"/>
      <c r="E79" s="15" t="n"/>
      <c r="F79" s="14" t="n"/>
      <c r="G79" s="14" t="n"/>
      <c r="H79" s="14" t="n"/>
      <c r="I79" s="14" t="n"/>
      <c r="J79" s="16" t="n"/>
      <c r="K79" s="14">
        <f>Table1[[#This Row],[Complexity]]*$A$11+SUM(Table1[[#This Row],[Other 
Integration]:[OEM 
Integration]])*$C$11</f>
        <v/>
      </c>
      <c r="L79" s="7" t="n"/>
      <c r="M79" s="7" t="n"/>
    </row>
    <row r="80">
      <c r="A80" s="14" t="n">
        <v>64</v>
      </c>
      <c r="B80" s="14" t="n"/>
      <c r="C80" s="14" t="n"/>
      <c r="D80" s="14" t="n"/>
      <c r="E80" s="15" t="n"/>
      <c r="F80" s="14" t="n"/>
      <c r="G80" s="14" t="n"/>
      <c r="H80" s="14" t="n"/>
      <c r="I80" s="14" t="n"/>
      <c r="J80" s="16" t="n"/>
      <c r="K80" s="14">
        <f>Table1[[#This Row],[Complexity]]*$A$11+SUM(Table1[[#This Row],[Other 
Integration]:[OEM 
Integration]])*$C$11</f>
        <v/>
      </c>
      <c r="L80" s="7" t="n"/>
      <c r="M80" s="7" t="n"/>
    </row>
    <row r="81">
      <c r="A81" s="14" t="n">
        <v>65</v>
      </c>
      <c r="B81" s="14" t="n"/>
      <c r="C81" s="14" t="n"/>
      <c r="D81" s="14" t="n"/>
      <c r="E81" s="15" t="n"/>
      <c r="F81" s="14" t="n"/>
      <c r="G81" s="14" t="n"/>
      <c r="H81" s="14" t="n"/>
      <c r="I81" s="14" t="n"/>
      <c r="J81" s="16" t="n"/>
      <c r="K81" s="14">
        <f>Table1[[#This Row],[Complexity]]*$A$11+SUM(Table1[[#This Row],[Other 
Integration]:[OEM 
Integration]])*$C$11</f>
        <v/>
      </c>
      <c r="L81" s="7" t="n"/>
      <c r="M81" s="7" t="n"/>
    </row>
    <row r="82">
      <c r="A82" s="14" t="n">
        <v>66</v>
      </c>
      <c r="B82" s="14" t="n"/>
      <c r="C82" s="14" t="n"/>
      <c r="D82" s="14" t="n"/>
      <c r="E82" s="15" t="n"/>
      <c r="F82" s="14" t="n"/>
      <c r="G82" s="14" t="n"/>
      <c r="H82" s="14" t="n"/>
      <c r="I82" s="14" t="n"/>
      <c r="J82" s="16" t="n"/>
      <c r="K82" s="14">
        <f>Table1[[#This Row],[Complexity]]*$A$11+SUM(Table1[[#This Row],[Other 
Integration]:[OEM 
Integration]])*$C$11</f>
        <v/>
      </c>
      <c r="L82" s="7" t="n"/>
      <c r="M82" s="7" t="n"/>
    </row>
    <row r="83">
      <c r="A83" s="14" t="n">
        <v>67</v>
      </c>
      <c r="B83" s="14" t="n"/>
      <c r="C83" s="14" t="n"/>
      <c r="D83" s="14" t="n"/>
      <c r="E83" s="15" t="n"/>
      <c r="F83" s="14" t="n"/>
      <c r="G83" s="14" t="n"/>
      <c r="H83" s="14" t="n"/>
      <c r="I83" s="14" t="n"/>
      <c r="J83" s="16" t="n"/>
      <c r="K83" s="14">
        <f>Table1[[#This Row],[Complexity]]*$A$11+SUM(Table1[[#This Row],[Other 
Integration]:[OEM 
Integration]])*$C$11</f>
        <v/>
      </c>
      <c r="L83" s="7" t="n"/>
      <c r="M83" s="7" t="n"/>
    </row>
    <row r="84">
      <c r="A84" s="14" t="n">
        <v>68</v>
      </c>
      <c r="B84" s="14" t="n"/>
      <c r="C84" s="14" t="n"/>
      <c r="D84" s="14" t="n"/>
      <c r="E84" s="15" t="n"/>
      <c r="F84" s="14" t="n"/>
      <c r="G84" s="14" t="n"/>
      <c r="H84" s="14" t="n"/>
      <c r="I84" s="14" t="n"/>
      <c r="J84" s="16" t="n"/>
      <c r="K84" s="14">
        <f>Table1[[#This Row],[Complexity]]*$A$11+SUM(Table1[[#This Row],[Other 
Integration]:[OEM 
Integration]])*$C$11</f>
        <v/>
      </c>
      <c r="L84" s="7" t="n"/>
      <c r="M84" s="7" t="n"/>
    </row>
    <row r="85">
      <c r="A85" s="14" t="n">
        <v>69</v>
      </c>
      <c r="B85" s="14" t="n"/>
      <c r="C85" s="14" t="n"/>
      <c r="D85" s="14" t="n"/>
      <c r="E85" s="15" t="n"/>
      <c r="F85" s="14" t="n"/>
      <c r="G85" s="14" t="n"/>
      <c r="H85" s="14" t="n"/>
      <c r="I85" s="14" t="n"/>
      <c r="J85" s="16" t="n"/>
      <c r="K85" s="14">
        <f>Table1[[#This Row],[Complexity]]*$A$11+SUM(Table1[[#This Row],[Other 
Integration]:[OEM 
Integration]])*$C$11</f>
        <v/>
      </c>
      <c r="L85" s="7" t="n"/>
      <c r="M85" s="7" t="n"/>
    </row>
    <row r="86">
      <c r="A86" s="14" t="n">
        <v>70</v>
      </c>
      <c r="B86" s="14" t="n"/>
      <c r="C86" s="14" t="n"/>
      <c r="D86" s="14" t="n"/>
      <c r="E86" s="15" t="n"/>
      <c r="F86" s="14" t="n"/>
      <c r="G86" s="14" t="n"/>
      <c r="H86" s="14" t="n"/>
      <c r="I86" s="14" t="n"/>
      <c r="J86" s="16" t="n"/>
      <c r="K86" s="14">
        <f>Table1[[#This Row],[Complexity]]*$A$11+SUM(Table1[[#This Row],[Other 
Integration]:[OEM 
Integration]])*$C$11</f>
        <v/>
      </c>
      <c r="L86" s="7" t="n"/>
      <c r="M86" s="7" t="n"/>
    </row>
    <row r="87">
      <c r="A87" s="14" t="n">
        <v>71</v>
      </c>
      <c r="B87" s="14" t="n"/>
      <c r="C87" s="14" t="n"/>
      <c r="D87" s="14" t="n"/>
      <c r="E87" s="15" t="n"/>
      <c r="F87" s="14" t="n"/>
      <c r="G87" s="14" t="n"/>
      <c r="H87" s="14" t="n"/>
      <c r="I87" s="14" t="n"/>
      <c r="J87" s="16" t="n"/>
      <c r="K87" s="14">
        <f>Table1[[#This Row],[Complexity]]*$A$11+SUM(Table1[[#This Row],[Other 
Integration]:[OEM 
Integration]])*$C$11</f>
        <v/>
      </c>
      <c r="L87" s="7" t="n"/>
      <c r="M87" s="7" t="n"/>
    </row>
    <row r="88">
      <c r="A88" s="14" t="n">
        <v>72</v>
      </c>
      <c r="B88" s="14" t="n"/>
      <c r="C88" s="14" t="n"/>
      <c r="D88" s="14" t="n"/>
      <c r="E88" s="15" t="n"/>
      <c r="F88" s="14" t="n"/>
      <c r="G88" s="14" t="n"/>
      <c r="H88" s="14" t="n"/>
      <c r="I88" s="14" t="n"/>
      <c r="J88" s="16" t="n"/>
      <c r="K88" s="14">
        <f>Table1[[#This Row],[Complexity]]*$A$11+SUM(Table1[[#This Row],[Other 
Integration]:[OEM 
Integration]])*$C$11</f>
        <v/>
      </c>
      <c r="L88" s="7" t="n"/>
      <c r="M88" s="7" t="n"/>
    </row>
    <row r="89">
      <c r="A89" s="14" t="n">
        <v>73</v>
      </c>
      <c r="B89" s="14" t="n"/>
      <c r="C89" s="14" t="n"/>
      <c r="D89" s="14" t="n"/>
      <c r="E89" s="15" t="n"/>
      <c r="F89" s="14" t="n"/>
      <c r="G89" s="14" t="n"/>
      <c r="H89" s="14" t="n"/>
      <c r="I89" s="14" t="n"/>
      <c r="J89" s="16" t="n"/>
      <c r="K89" s="14">
        <f>Table1[[#This Row],[Complexity]]*$A$11+SUM(Table1[[#This Row],[Other 
Integration]:[OEM 
Integration]])*$C$11</f>
        <v/>
      </c>
      <c r="L89" s="7" t="n"/>
      <c r="M89" s="7" t="n"/>
    </row>
    <row r="90">
      <c r="A90" s="14" t="n">
        <v>74</v>
      </c>
      <c r="B90" s="14" t="n"/>
      <c r="C90" s="14" t="n"/>
      <c r="D90" s="14" t="n"/>
      <c r="E90" s="15" t="n"/>
      <c r="F90" s="14" t="n"/>
      <c r="G90" s="14" t="n"/>
      <c r="H90" s="14" t="n"/>
      <c r="I90" s="14" t="n"/>
      <c r="J90" s="16" t="n"/>
      <c r="K90" s="14">
        <f>Table1[[#This Row],[Complexity]]*$A$11+SUM(Table1[[#This Row],[Other 
Integration]:[OEM 
Integration]])*$C$11</f>
        <v/>
      </c>
      <c r="L90" s="7" t="n"/>
      <c r="M90" s="7" t="n"/>
    </row>
    <row r="91">
      <c r="A91" s="14" t="n">
        <v>75</v>
      </c>
      <c r="B91" s="14" t="n"/>
      <c r="C91" s="14" t="n"/>
      <c r="D91" s="14" t="n"/>
      <c r="E91" s="15" t="n"/>
      <c r="F91" s="14" t="n"/>
      <c r="G91" s="14" t="n"/>
      <c r="H91" s="14" t="n"/>
      <c r="I91" s="14" t="n"/>
      <c r="J91" s="16" t="n"/>
      <c r="K91" s="14">
        <f>Table1[[#This Row],[Complexity]]*$A$11+SUM(Table1[[#This Row],[Other 
Integration]:[OEM 
Integration]])*$C$11</f>
        <v/>
      </c>
      <c r="L91" s="7" t="n"/>
      <c r="M91" s="7" t="n"/>
    </row>
    <row r="92">
      <c r="A92" s="14" t="n">
        <v>76</v>
      </c>
      <c r="B92" s="14" t="n"/>
      <c r="C92" s="14" t="n"/>
      <c r="D92" s="14" t="n"/>
      <c r="E92" s="15" t="n"/>
      <c r="F92" s="14" t="n"/>
      <c r="G92" s="14" t="n"/>
      <c r="H92" s="14" t="n"/>
      <c r="I92" s="14" t="n"/>
      <c r="J92" s="16" t="n"/>
      <c r="K92" s="14">
        <f>Table1[[#This Row],[Complexity]]*$A$11+SUM(Table1[[#This Row],[Other 
Integration]:[OEM 
Integration]])*$C$11</f>
        <v/>
      </c>
      <c r="L92" s="7" t="n"/>
      <c r="M92" s="7" t="n"/>
    </row>
    <row r="93">
      <c r="A93" s="14" t="n">
        <v>77</v>
      </c>
      <c r="B93" s="14" t="n"/>
      <c r="C93" s="14" t="n"/>
      <c r="D93" s="14" t="n"/>
      <c r="E93" s="15" t="n"/>
      <c r="F93" s="14" t="n"/>
      <c r="G93" s="14" t="n"/>
      <c r="H93" s="14" t="n"/>
      <c r="I93" s="14" t="n"/>
      <c r="J93" s="16" t="n"/>
      <c r="K93" s="14">
        <f>Table1[[#This Row],[Complexity]]*$A$11+SUM(Table1[[#This Row],[Other 
Integration]:[OEM 
Integration]])*$C$11</f>
        <v/>
      </c>
      <c r="L93" s="7" t="n"/>
      <c r="M93" s="7" t="n"/>
    </row>
    <row r="94">
      <c r="A94" s="14" t="n">
        <v>78</v>
      </c>
      <c r="B94" s="14" t="n"/>
      <c r="C94" s="14" t="n"/>
      <c r="D94" s="14" t="n"/>
      <c r="E94" s="15" t="n"/>
      <c r="F94" s="14" t="n"/>
      <c r="G94" s="14" t="n"/>
      <c r="H94" s="14" t="n"/>
      <c r="I94" s="14" t="n"/>
      <c r="J94" s="16" t="n"/>
      <c r="K94" s="14">
        <f>Table1[[#This Row],[Complexity]]*$A$11+SUM(Table1[[#This Row],[Other 
Integration]:[OEM 
Integration]])*$C$11</f>
        <v/>
      </c>
      <c r="L94" s="7" t="n"/>
      <c r="M94" s="7" t="n"/>
    </row>
    <row r="95">
      <c r="A95" s="14" t="n">
        <v>79</v>
      </c>
      <c r="B95" s="14" t="n"/>
      <c r="C95" s="14" t="n"/>
      <c r="D95" s="14" t="n"/>
      <c r="E95" s="15" t="n"/>
      <c r="F95" s="14" t="n"/>
      <c r="G95" s="14" t="n"/>
      <c r="H95" s="14" t="n"/>
      <c r="I95" s="14" t="n"/>
      <c r="J95" s="16" t="n"/>
      <c r="K95" s="14">
        <f>Table1[[#This Row],[Complexity]]*$A$11+SUM(Table1[[#This Row],[Other 
Integration]:[OEM 
Integration]])*$C$11</f>
        <v/>
      </c>
      <c r="L95" s="7" t="n"/>
      <c r="M95" s="7" t="n"/>
    </row>
    <row r="96">
      <c r="A96" s="14" t="n">
        <v>80</v>
      </c>
      <c r="B96" s="14" t="n"/>
      <c r="C96" s="14" t="n"/>
      <c r="D96" s="14" t="n"/>
      <c r="E96" s="15" t="n"/>
      <c r="F96" s="14" t="n"/>
      <c r="G96" s="14" t="n"/>
      <c r="H96" s="14" t="n"/>
      <c r="I96" s="14" t="n"/>
      <c r="J96" s="16" t="n"/>
      <c r="K96" s="14">
        <f>Table1[[#This Row],[Complexity]]*$A$11+SUM(Table1[[#This Row],[Other 
Integration]:[OEM 
Integration]])*$C$11</f>
        <v/>
      </c>
      <c r="L96" s="7" t="n"/>
      <c r="M96" s="7" t="n"/>
    </row>
    <row r="97">
      <c r="A97" s="14" t="n">
        <v>81</v>
      </c>
      <c r="B97" s="14" t="n"/>
      <c r="C97" s="14" t="n"/>
      <c r="D97" s="14" t="n"/>
      <c r="E97" s="15" t="n"/>
      <c r="F97" s="14" t="n"/>
      <c r="G97" s="14" t="n"/>
      <c r="H97" s="14" t="n"/>
      <c r="I97" s="14" t="n"/>
      <c r="J97" s="16" t="n"/>
      <c r="K97" s="14">
        <f>Table1[[#This Row],[Complexity]]*$A$11+SUM(Table1[[#This Row],[Other 
Integration]:[OEM 
Integration]])*$C$11</f>
        <v/>
      </c>
      <c r="L97" s="7" t="n"/>
      <c r="M97" s="7" t="n"/>
    </row>
    <row r="98">
      <c r="A98" s="14" t="n">
        <v>82</v>
      </c>
      <c r="B98" s="14" t="n"/>
      <c r="C98" s="14" t="n"/>
      <c r="D98" s="14" t="n"/>
      <c r="E98" s="15" t="n"/>
      <c r="F98" s="14" t="n"/>
      <c r="G98" s="14" t="n"/>
      <c r="H98" s="14" t="n"/>
      <c r="I98" s="14" t="n"/>
      <c r="J98" s="16" t="n"/>
      <c r="K98" s="14">
        <f>Table1[[#This Row],[Complexity]]*$A$11+SUM(Table1[[#This Row],[Other 
Integration]:[OEM 
Integration]])*$C$11</f>
        <v/>
      </c>
      <c r="L98" s="7" t="n"/>
      <c r="M98" s="7" t="n"/>
    </row>
    <row r="99">
      <c r="A99" s="14" t="n">
        <v>83</v>
      </c>
      <c r="B99" s="14" t="n"/>
      <c r="C99" s="14" t="n"/>
      <c r="D99" s="14" t="n"/>
      <c r="E99" s="15" t="n"/>
      <c r="F99" s="14" t="n"/>
      <c r="G99" s="14" t="n"/>
      <c r="H99" s="14" t="n"/>
      <c r="I99" s="14" t="n"/>
      <c r="J99" s="16" t="n"/>
      <c r="K99" s="14">
        <f>Table1[[#This Row],[Complexity]]*$A$11+SUM(Table1[[#This Row],[Other 
Integration]:[OEM 
Integration]])*$C$11</f>
        <v/>
      </c>
      <c r="L99" s="7" t="n"/>
      <c r="M99" s="7" t="n"/>
    </row>
    <row r="100">
      <c r="A100" s="14" t="n">
        <v>84</v>
      </c>
      <c r="B100" s="14" t="n"/>
      <c r="C100" s="14" t="n"/>
      <c r="D100" s="14" t="n"/>
      <c r="E100" s="15" t="n"/>
      <c r="F100" s="14" t="n"/>
      <c r="G100" s="14" t="n"/>
      <c r="H100" s="14" t="n"/>
      <c r="I100" s="14" t="n"/>
      <c r="J100" s="16" t="n"/>
      <c r="K100" s="14">
        <f>Table1[[#This Row],[Complexity]]*$A$11+SUM(Table1[[#This Row],[Other 
Integration]:[OEM 
Integration]])*$C$11</f>
        <v/>
      </c>
      <c r="L100" s="7" t="n"/>
      <c r="M100" s="7" t="n"/>
    </row>
    <row r="101">
      <c r="A101" s="14" t="n">
        <v>85</v>
      </c>
      <c r="B101" s="14" t="n"/>
      <c r="C101" s="14" t="n"/>
      <c r="D101" s="14" t="n"/>
      <c r="E101" s="15" t="n"/>
      <c r="F101" s="14" t="n"/>
      <c r="G101" s="14" t="n"/>
      <c r="H101" s="14" t="n"/>
      <c r="I101" s="14" t="n"/>
      <c r="J101" s="16" t="n"/>
      <c r="K101" s="14">
        <f>Table1[[#This Row],[Complexity]]*$A$11+SUM(Table1[[#This Row],[Other 
Integration]:[OEM 
Integration]])*$C$11</f>
        <v/>
      </c>
      <c r="L101" s="7" t="n"/>
      <c r="M101" s="7" t="n"/>
    </row>
    <row r="102">
      <c r="A102" s="14" t="n">
        <v>86</v>
      </c>
      <c r="B102" s="14" t="n"/>
      <c r="C102" s="14" t="n"/>
      <c r="D102" s="14" t="n"/>
      <c r="E102" s="15" t="n"/>
      <c r="F102" s="14" t="n"/>
      <c r="G102" s="14" t="n"/>
      <c r="H102" s="14" t="n"/>
      <c r="I102" s="14" t="n"/>
      <c r="J102" s="16" t="n"/>
      <c r="K102" s="14">
        <f>Table1[[#This Row],[Complexity]]*$A$11+SUM(Table1[[#This Row],[Other 
Integration]:[OEM 
Integration]])*$C$11</f>
        <v/>
      </c>
      <c r="L102" s="7" t="n"/>
      <c r="M102" s="7" t="n"/>
    </row>
    <row r="103">
      <c r="A103" s="14" t="n">
        <v>87</v>
      </c>
      <c r="B103" s="14" t="n"/>
      <c r="C103" s="14" t="n"/>
      <c r="D103" s="14" t="n"/>
      <c r="E103" s="15" t="n"/>
      <c r="F103" s="14" t="n"/>
      <c r="G103" s="14" t="n"/>
      <c r="H103" s="14" t="n"/>
      <c r="I103" s="14" t="n"/>
      <c r="J103" s="16" t="n"/>
      <c r="K103" s="14">
        <f>Table1[[#This Row],[Complexity]]*$A$11+SUM(Table1[[#This Row],[Other 
Integration]:[OEM 
Integration]])*$C$11</f>
        <v/>
      </c>
      <c r="L103" s="7" t="n"/>
      <c r="M103" s="7" t="n"/>
    </row>
    <row r="104">
      <c r="A104" s="14" t="n">
        <v>88</v>
      </c>
      <c r="B104" s="14" t="n"/>
      <c r="C104" s="14" t="n"/>
      <c r="D104" s="14" t="n"/>
      <c r="E104" s="15" t="n"/>
      <c r="F104" s="14" t="n"/>
      <c r="G104" s="14" t="n"/>
      <c r="H104" s="14" t="n"/>
      <c r="I104" s="14" t="n"/>
      <c r="J104" s="16" t="n"/>
      <c r="K104" s="14">
        <f>Table1[[#This Row],[Complexity]]*$A$11+SUM(Table1[[#This Row],[Other 
Integration]:[OEM 
Integration]])*$C$11</f>
        <v/>
      </c>
      <c r="L104" s="7" t="n"/>
      <c r="M104" s="7" t="n"/>
    </row>
    <row r="105">
      <c r="A105" s="14" t="n">
        <v>89</v>
      </c>
      <c r="B105" s="14" t="n"/>
      <c r="C105" s="14" t="n"/>
      <c r="D105" s="14" t="n"/>
      <c r="E105" s="15" t="n"/>
      <c r="F105" s="14" t="n"/>
      <c r="G105" s="14" t="n"/>
      <c r="H105" s="14" t="n"/>
      <c r="I105" s="14" t="n"/>
      <c r="J105" s="16" t="n"/>
      <c r="K105" s="14">
        <f>Table1[[#This Row],[Complexity]]*$A$11+SUM(Table1[[#This Row],[Other 
Integration]:[OEM 
Integration]])*$C$11</f>
        <v/>
      </c>
      <c r="L105" s="7" t="n"/>
      <c r="M105" s="7" t="n"/>
    </row>
    <row r="106">
      <c r="A106" s="14" t="n">
        <v>90</v>
      </c>
      <c r="B106" s="14" t="n"/>
      <c r="C106" s="14" t="n"/>
      <c r="D106" s="14" t="n"/>
      <c r="E106" s="15" t="n"/>
      <c r="F106" s="14" t="n"/>
      <c r="G106" s="14" t="n"/>
      <c r="H106" s="14" t="n"/>
      <c r="I106" s="14" t="n"/>
      <c r="J106" s="16" t="n"/>
      <c r="K106" s="14">
        <f>Table1[[#This Row],[Complexity]]*$A$11+SUM(Table1[[#This Row],[Other 
Integration]:[OEM 
Integration]])*$C$11</f>
        <v/>
      </c>
      <c r="L106" s="7" t="n"/>
      <c r="M106" s="7" t="n"/>
    </row>
    <row r="107">
      <c r="A107" s="14" t="n">
        <v>91</v>
      </c>
      <c r="B107" s="14" t="n"/>
      <c r="C107" s="14" t="n"/>
      <c r="D107" s="14" t="n"/>
      <c r="E107" s="15" t="n"/>
      <c r="F107" s="14" t="n"/>
      <c r="G107" s="14" t="n"/>
      <c r="H107" s="14" t="n"/>
      <c r="I107" s="14" t="n"/>
      <c r="J107" s="16" t="n"/>
      <c r="K107" s="14">
        <f>Table1[[#This Row],[Complexity]]*$A$11+SUM(Table1[[#This Row],[Other 
Integration]:[OEM 
Integration]])*$C$11</f>
        <v/>
      </c>
      <c r="L107" s="7" t="n"/>
      <c r="M107" s="7" t="n"/>
    </row>
    <row r="108">
      <c r="A108" s="14" t="n">
        <v>92</v>
      </c>
      <c r="B108" s="14" t="n"/>
      <c r="C108" s="14" t="n"/>
      <c r="D108" s="14" t="n"/>
      <c r="E108" s="15" t="n"/>
      <c r="F108" s="14" t="n"/>
      <c r="G108" s="14" t="n"/>
      <c r="H108" s="14" t="n"/>
      <c r="I108" s="14" t="n"/>
      <c r="J108" s="16" t="n"/>
      <c r="K108" s="14">
        <f>Table1[[#This Row],[Complexity]]*$A$11+SUM(Table1[[#This Row],[Other 
Integration]:[OEM 
Integration]])*$C$11</f>
        <v/>
      </c>
      <c r="L108" s="7" t="n"/>
      <c r="M108" s="7" t="n"/>
    </row>
    <row r="109">
      <c r="A109" s="14" t="n">
        <v>93</v>
      </c>
      <c r="B109" s="14" t="n"/>
      <c r="C109" s="14" t="n"/>
      <c r="D109" s="14" t="n"/>
      <c r="E109" s="15" t="n"/>
      <c r="F109" s="14" t="n"/>
      <c r="G109" s="14" t="n"/>
      <c r="H109" s="14" t="n"/>
      <c r="I109" s="14" t="n"/>
      <c r="J109" s="16" t="n"/>
      <c r="K109" s="14">
        <f>Table1[[#This Row],[Complexity]]*$A$11+SUM(Table1[[#This Row],[Other 
Integration]:[OEM 
Integration]])*$C$11</f>
        <v/>
      </c>
      <c r="L109" s="7" t="n"/>
      <c r="M109" s="7" t="n"/>
    </row>
    <row r="110">
      <c r="A110" s="14" t="n">
        <v>94</v>
      </c>
      <c r="B110" s="14" t="n"/>
      <c r="C110" s="14" t="n"/>
      <c r="D110" s="14" t="n"/>
      <c r="E110" s="15" t="n"/>
      <c r="F110" s="14" t="n"/>
      <c r="G110" s="14" t="n"/>
      <c r="H110" s="14" t="n"/>
      <c r="I110" s="14" t="n"/>
      <c r="J110" s="16" t="n"/>
      <c r="K110" s="14">
        <f>Table1[[#This Row],[Complexity]]*$A$11+SUM(Table1[[#This Row],[Other 
Integration]:[OEM 
Integration]])*$C$11</f>
        <v/>
      </c>
      <c r="L110" s="7" t="n"/>
      <c r="M110" s="7" t="n"/>
    </row>
    <row r="111">
      <c r="A111" s="14" t="n">
        <v>95</v>
      </c>
      <c r="B111" s="14" t="n"/>
      <c r="C111" s="14" t="n"/>
      <c r="D111" s="14" t="n"/>
      <c r="E111" s="15" t="n"/>
      <c r="F111" s="14" t="n"/>
      <c r="G111" s="14" t="n"/>
      <c r="H111" s="14" t="n"/>
      <c r="I111" s="14" t="n"/>
      <c r="J111" s="16" t="n"/>
      <c r="K111" s="14">
        <f>Table1[[#This Row],[Complexity]]*$A$11+SUM(Table1[[#This Row],[Other 
Integration]:[OEM 
Integration]])*$C$11</f>
        <v/>
      </c>
      <c r="L111" s="7" t="n"/>
      <c r="M111" s="7" t="n"/>
    </row>
    <row r="112">
      <c r="A112" s="14" t="n">
        <v>96</v>
      </c>
      <c r="B112" s="14" t="n"/>
      <c r="C112" s="14" t="n"/>
      <c r="D112" s="14" t="n"/>
      <c r="E112" s="15" t="n"/>
      <c r="F112" s="14" t="n"/>
      <c r="G112" s="14" t="n"/>
      <c r="H112" s="14" t="n"/>
      <c r="I112" s="14" t="n"/>
      <c r="J112" s="16" t="n"/>
      <c r="K112" s="14">
        <f>Table1[[#This Row],[Complexity]]*$A$11+SUM(Table1[[#This Row],[Other 
Integration]:[OEM 
Integration]])*$C$11</f>
        <v/>
      </c>
      <c r="L112" s="7" t="n"/>
      <c r="M112" s="7" t="n"/>
    </row>
    <row r="113">
      <c r="A113" s="14" t="n">
        <v>97</v>
      </c>
      <c r="B113" s="14" t="n"/>
      <c r="C113" s="14" t="n"/>
      <c r="D113" s="14" t="n"/>
      <c r="E113" s="15" t="n"/>
      <c r="F113" s="14" t="n"/>
      <c r="G113" s="14" t="n"/>
      <c r="H113" s="14" t="n"/>
      <c r="I113" s="14" t="n"/>
      <c r="J113" s="16" t="n"/>
      <c r="K113" s="14">
        <f>Table1[[#This Row],[Complexity]]*$A$11+SUM(Table1[[#This Row],[Other 
Integration]:[OEM 
Integration]])*$C$11</f>
        <v/>
      </c>
      <c r="L113" s="7" t="n"/>
      <c r="M113" s="7" t="n"/>
    </row>
    <row r="114">
      <c r="A114" s="14" t="n">
        <v>98</v>
      </c>
      <c r="B114" s="14" t="n"/>
      <c r="C114" s="14" t="n"/>
      <c r="D114" s="14" t="n"/>
      <c r="E114" s="15" t="n"/>
      <c r="F114" s="14" t="n"/>
      <c r="G114" s="14" t="n"/>
      <c r="H114" s="14" t="n"/>
      <c r="I114" s="14" t="n"/>
      <c r="J114" s="16" t="n"/>
      <c r="K114" s="14">
        <f>Table1[[#This Row],[Complexity]]*$A$11+SUM(Table1[[#This Row],[Other 
Integration]:[OEM 
Integration]])*$C$11</f>
        <v/>
      </c>
      <c r="L114" s="7" t="n"/>
      <c r="M114" s="7" t="n"/>
    </row>
    <row r="115">
      <c r="A115" s="14" t="n">
        <v>99</v>
      </c>
      <c r="B115" s="14" t="n"/>
      <c r="C115" s="14" t="n"/>
      <c r="D115" s="14" t="n"/>
      <c r="E115" s="15" t="n"/>
      <c r="F115" s="14" t="n"/>
      <c r="G115" s="14" t="n"/>
      <c r="H115" s="14" t="n"/>
      <c r="I115" s="14" t="n"/>
      <c r="J115" s="16" t="n"/>
      <c r="K115" s="14">
        <f>Table1[[#This Row],[Complexity]]*$A$11+SUM(Table1[[#This Row],[Other 
Integration]:[OEM 
Integration]])*$C$11</f>
        <v/>
      </c>
      <c r="L115" s="7" t="n"/>
      <c r="M115" s="7" t="n"/>
    </row>
    <row r="116">
      <c r="A116" s="14" t="n">
        <v>100</v>
      </c>
      <c r="B116" s="14" t="n"/>
      <c r="C116" s="14" t="n"/>
      <c r="D116" s="14" t="n"/>
      <c r="E116" s="15" t="n"/>
      <c r="F116" s="14" t="n"/>
      <c r="G116" s="14" t="n"/>
      <c r="H116" s="14" t="n"/>
      <c r="I116" s="14" t="n"/>
      <c r="J116" s="16" t="n"/>
      <c r="K116" s="14">
        <f>Table1[[#This Row],[Complexity]]*$A$11+SUM(Table1[[#This Row],[Other 
Integration]:[OEM 
Integration]])*$C$11</f>
        <v/>
      </c>
      <c r="L116" s="7" t="n"/>
      <c r="M116" s="7" t="n"/>
    </row>
    <row r="117">
      <c r="A117" s="14" t="n">
        <v>101</v>
      </c>
      <c r="B117" s="14" t="n"/>
      <c r="C117" s="14" t="n"/>
      <c r="D117" s="14" t="n"/>
      <c r="E117" s="15" t="n"/>
      <c r="F117" s="14" t="n"/>
      <c r="G117" s="14" t="n"/>
      <c r="H117" s="14" t="n"/>
      <c r="I117" s="14" t="n"/>
      <c r="J117" s="16" t="n"/>
      <c r="K117" s="14">
        <f>Table1[[#This Row],[Complexity]]*$A$11+SUM(Table1[[#This Row],[Other 
Integration]:[OEM 
Integration]])*$C$11</f>
        <v/>
      </c>
      <c r="L117" s="7" t="n"/>
      <c r="M117" s="7" t="n"/>
    </row>
    <row r="118">
      <c r="A118" s="14" t="n">
        <v>102</v>
      </c>
      <c r="B118" s="14" t="n"/>
      <c r="C118" s="14" t="n"/>
      <c r="D118" s="14" t="n"/>
      <c r="E118" s="15" t="n"/>
      <c r="F118" s="14" t="n"/>
      <c r="G118" s="14" t="n"/>
      <c r="H118" s="14" t="n"/>
      <c r="I118" s="14" t="n"/>
      <c r="J118" s="16" t="n"/>
      <c r="K118" s="14">
        <f>Table1[[#This Row],[Complexity]]*$A$11+SUM(Table1[[#This Row],[Other 
Integration]:[OEM 
Integration]])*$C$11</f>
        <v/>
      </c>
      <c r="L118" s="7" t="n"/>
      <c r="M118" s="7" t="n"/>
    </row>
    <row r="119">
      <c r="A119" s="14" t="n">
        <v>103</v>
      </c>
      <c r="B119" s="14" t="n"/>
      <c r="C119" s="14" t="n"/>
      <c r="D119" s="14" t="n"/>
      <c r="E119" s="15" t="n"/>
      <c r="F119" s="14" t="n"/>
      <c r="G119" s="14" t="n"/>
      <c r="H119" s="14" t="n"/>
      <c r="I119" s="14" t="n"/>
      <c r="J119" s="16" t="n"/>
      <c r="K119" s="14">
        <f>Table1[[#This Row],[Complexity]]*$A$11+SUM(Table1[[#This Row],[Other 
Integration]:[OEM 
Integration]])*$C$11</f>
        <v/>
      </c>
      <c r="L119" s="7" t="n"/>
      <c r="M119" s="7" t="n"/>
    </row>
    <row r="120">
      <c r="A120" s="14" t="n">
        <v>104</v>
      </c>
      <c r="B120" s="14" t="n"/>
      <c r="C120" s="14" t="n"/>
      <c r="D120" s="14" t="n"/>
      <c r="E120" s="15" t="n"/>
      <c r="F120" s="14" t="n"/>
      <c r="G120" s="14" t="n"/>
      <c r="H120" s="14" t="n"/>
      <c r="I120" s="14" t="n"/>
      <c r="J120" s="16" t="n"/>
      <c r="K120" s="14">
        <f>Table1[[#This Row],[Complexity]]*$A$11+SUM(Table1[[#This Row],[Other 
Integration]:[OEM 
Integration]])*$C$11</f>
        <v/>
      </c>
      <c r="L120" s="7" t="n"/>
      <c r="M120" s="7" t="n"/>
    </row>
    <row r="121">
      <c r="A121" s="14" t="n">
        <v>105</v>
      </c>
      <c r="B121" s="14" t="n"/>
      <c r="C121" s="14" t="n"/>
      <c r="D121" s="14" t="n"/>
      <c r="E121" s="14" t="n"/>
      <c r="F121" s="14" t="n"/>
      <c r="G121" s="14" t="n"/>
      <c r="H121" s="14" t="n"/>
      <c r="I121" s="14" t="n"/>
      <c r="J121" s="16" t="n"/>
      <c r="K121" s="14">
        <f>Table1[[#This Row],[Complexity]]*$A$11+SUM(Table1[[#This Row],[Other 
Integration]:[OEM 
Integration]])*$C$11</f>
        <v/>
      </c>
      <c r="L121" s="7" t="n"/>
      <c r="M121" s="7" t="n"/>
    </row>
    <row r="122">
      <c r="A122" s="14" t="n">
        <v>106</v>
      </c>
      <c r="B122" s="14" t="n"/>
      <c r="C122" s="14" t="n"/>
      <c r="D122" s="14" t="n"/>
      <c r="E122" s="14" t="n"/>
      <c r="F122" s="14" t="n"/>
      <c r="G122" s="14" t="n"/>
      <c r="H122" s="14" t="n"/>
      <c r="I122" s="14" t="n"/>
      <c r="J122" s="16" t="n"/>
      <c r="K122" s="14">
        <f>Table1[[#This Row],[Complexity]]*$A$11+SUM(Table1[[#This Row],[Other 
Integration]:[OEM 
Integration]])*$C$11</f>
        <v/>
      </c>
      <c r="L122" s="7" t="n"/>
      <c r="M122" s="7" t="n"/>
    </row>
    <row r="123">
      <c r="A123" s="14" t="n">
        <v>107</v>
      </c>
      <c r="B123" s="14" t="n"/>
      <c r="C123" s="14" t="n"/>
      <c r="D123" s="14" t="n"/>
      <c r="E123" s="14" t="n"/>
      <c r="F123" s="14" t="n"/>
      <c r="G123" s="14" t="n"/>
      <c r="H123" s="14" t="n"/>
      <c r="I123" s="14" t="n"/>
      <c r="J123" s="16" t="n"/>
      <c r="K123" s="14">
        <f>Table1[[#This Row],[Complexity]]*$A$11+SUM(Table1[[#This Row],[Other 
Integration]:[OEM 
Integration]])*$C$11</f>
        <v/>
      </c>
      <c r="L123" s="7" t="n"/>
      <c r="M123" s="7" t="n"/>
    </row>
    <row r="124">
      <c r="A124" s="14" t="n">
        <v>108</v>
      </c>
      <c r="B124" s="14" t="n"/>
      <c r="C124" s="14" t="n"/>
      <c r="D124" s="14" t="n"/>
      <c r="E124" s="14" t="n"/>
      <c r="F124" s="14" t="n"/>
      <c r="G124" s="14" t="n"/>
      <c r="H124" s="14" t="n"/>
      <c r="I124" s="14" t="n"/>
      <c r="J124" s="16" t="n"/>
      <c r="K124" s="14">
        <f>Table1[[#This Row],[Complexity]]*$A$11+SUM(Table1[[#This Row],[Other 
Integration]:[OEM 
Integration]])*$C$11</f>
        <v/>
      </c>
      <c r="L124" s="7" t="n"/>
      <c r="M124" s="7" t="n"/>
    </row>
    <row r="125">
      <c r="A125" s="14" t="n">
        <v>109</v>
      </c>
      <c r="B125" s="14" t="n"/>
      <c r="C125" s="14" t="n"/>
      <c r="D125" s="14" t="n"/>
      <c r="E125" s="14" t="n"/>
      <c r="F125" s="14" t="n"/>
      <c r="G125" s="14" t="n"/>
      <c r="H125" s="14" t="n"/>
      <c r="I125" s="14" t="n"/>
      <c r="J125" s="16" t="n"/>
      <c r="K125" s="14">
        <f>Table1[[#This Row],[Complexity]]*$A$11+SUM(Table1[[#This Row],[Other 
Integration]:[OEM 
Integration]])*$C$11</f>
        <v/>
      </c>
      <c r="L125" s="7" t="n"/>
      <c r="M125" s="7" t="n"/>
    </row>
    <row r="126">
      <c r="A126" s="14" t="n">
        <v>110</v>
      </c>
      <c r="B126" s="14" t="n"/>
      <c r="C126" s="14" t="n"/>
      <c r="D126" s="14" t="n"/>
      <c r="E126" s="14" t="n"/>
      <c r="F126" s="14" t="n"/>
      <c r="G126" s="14" t="n"/>
      <c r="H126" s="14" t="n"/>
      <c r="I126" s="14" t="n"/>
      <c r="J126" s="16" t="n"/>
      <c r="K126" s="14">
        <f>Table1[[#This Row],[Complexity]]*$A$11+SUM(Table1[[#This Row],[Other 
Integration]:[OEM 
Integration]])*$C$11</f>
        <v/>
      </c>
      <c r="L126" s="7" t="n"/>
      <c r="M126" s="7" t="n"/>
    </row>
    <row r="127">
      <c r="A127" s="14" t="n">
        <v>111</v>
      </c>
      <c r="B127" s="14" t="n"/>
      <c r="C127" s="14" t="n"/>
      <c r="D127" s="14" t="n"/>
      <c r="E127" s="14" t="n"/>
      <c r="F127" s="14" t="n"/>
      <c r="G127" s="14" t="n"/>
      <c r="H127" s="14" t="n"/>
      <c r="I127" s="14" t="n"/>
      <c r="J127" s="16" t="n"/>
      <c r="K127" s="14">
        <f>Table1[[#This Row],[Complexity]]*$A$11+SUM(Table1[[#This Row],[Other 
Integration]:[OEM 
Integration]])*$C$11</f>
        <v/>
      </c>
      <c r="L127" s="7" t="n"/>
      <c r="M127" s="7" t="n"/>
    </row>
    <row r="128">
      <c r="A128" s="14" t="n">
        <v>112</v>
      </c>
      <c r="B128" s="14" t="n"/>
      <c r="C128" s="14" t="n"/>
      <c r="D128" s="14" t="n"/>
      <c r="E128" s="14" t="n"/>
      <c r="F128" s="14" t="n"/>
      <c r="G128" s="14" t="n"/>
      <c r="H128" s="14" t="n"/>
      <c r="I128" s="14" t="n"/>
      <c r="J128" s="16" t="n"/>
      <c r="K128" s="14">
        <f>Table1[[#This Row],[Complexity]]*$A$11+SUM(Table1[[#This Row],[Other 
Integration]:[OEM 
Integration]])*$C$11</f>
        <v/>
      </c>
      <c r="L128" s="7" t="n"/>
      <c r="M128" s="7" t="n"/>
    </row>
    <row r="129">
      <c r="A129" s="14" t="n">
        <v>113</v>
      </c>
      <c r="B129" s="14" t="n"/>
      <c r="C129" s="14" t="n"/>
      <c r="D129" s="14" t="n"/>
      <c r="E129" s="14" t="n"/>
      <c r="F129" s="14" t="n"/>
      <c r="G129" s="14" t="n"/>
      <c r="H129" s="14" t="n"/>
      <c r="I129" s="14" t="n"/>
      <c r="J129" s="16" t="n"/>
      <c r="K129" s="14">
        <f>Table1[[#This Row],[Complexity]]*$A$11+SUM(Table1[[#This Row],[Other 
Integration]:[OEM 
Integration]])*$C$11</f>
        <v/>
      </c>
      <c r="L129" s="7" t="n"/>
      <c r="M129" s="7" t="n"/>
    </row>
    <row r="130">
      <c r="A130" s="14" t="n">
        <v>114</v>
      </c>
      <c r="B130" s="14" t="n"/>
      <c r="C130" s="14" t="n"/>
      <c r="D130" s="14" t="n"/>
      <c r="E130" s="14" t="n"/>
      <c r="F130" s="14" t="n"/>
      <c r="G130" s="14" t="n"/>
      <c r="H130" s="14" t="n"/>
      <c r="I130" s="14" t="n"/>
      <c r="J130" s="16" t="n"/>
      <c r="K130" s="14">
        <f>Table1[[#This Row],[Complexity]]*$A$11+SUM(Table1[[#This Row],[Other 
Integration]:[OEM 
Integration]])*$C$11</f>
        <v/>
      </c>
      <c r="L130" s="7" t="n"/>
      <c r="M130" s="7" t="n"/>
    </row>
    <row r="131">
      <c r="A131" s="14" t="n">
        <v>115</v>
      </c>
      <c r="B131" s="14" t="n"/>
      <c r="C131" s="14" t="n"/>
      <c r="D131" s="14" t="n"/>
      <c r="E131" s="14" t="n"/>
      <c r="F131" s="14" t="n"/>
      <c r="G131" s="14" t="n"/>
      <c r="H131" s="14" t="n"/>
      <c r="I131" s="14" t="n"/>
      <c r="J131" s="16" t="n"/>
      <c r="K131" s="14">
        <f>Table1[[#This Row],[Complexity]]*$A$11+SUM(Table1[[#This Row],[Other 
Integration]:[OEM 
Integration]])*$C$11</f>
        <v/>
      </c>
      <c r="L131" s="7" t="n"/>
      <c r="M131" s="7" t="n"/>
    </row>
    <row r="132">
      <c r="A132" s="14" t="n">
        <v>116</v>
      </c>
      <c r="B132" s="14" t="n"/>
      <c r="C132" s="14" t="n"/>
      <c r="D132" s="14" t="n"/>
      <c r="E132" s="14" t="n"/>
      <c r="F132" s="14" t="n"/>
      <c r="G132" s="14" t="n"/>
      <c r="H132" s="14" t="n"/>
      <c r="I132" s="14" t="n"/>
      <c r="J132" s="16" t="n"/>
      <c r="K132" s="14">
        <f>Table1[[#This Row],[Complexity]]*$A$11+SUM(Table1[[#This Row],[Other 
Integration]:[OEM 
Integration]])*$C$11</f>
        <v/>
      </c>
      <c r="L132" s="7" t="n"/>
      <c r="M132" s="7" t="n"/>
    </row>
    <row r="133">
      <c r="A133" s="14" t="n">
        <v>117</v>
      </c>
      <c r="B133" s="14" t="n"/>
      <c r="C133" s="14" t="n"/>
      <c r="D133" s="14" t="n"/>
      <c r="E133" s="14" t="n"/>
      <c r="F133" s="14" t="n"/>
      <c r="G133" s="14" t="n"/>
      <c r="H133" s="14" t="n"/>
      <c r="I133" s="14" t="n"/>
      <c r="J133" s="16" t="n"/>
      <c r="K133" s="14">
        <f>Table1[[#This Row],[Complexity]]*$A$11+SUM(Table1[[#This Row],[Other 
Integration]:[OEM 
Integration]])*$C$11</f>
        <v/>
      </c>
      <c r="L133" s="7" t="n"/>
      <c r="M133" s="7" t="n"/>
    </row>
    <row r="134">
      <c r="A134" s="14" t="n">
        <v>118</v>
      </c>
      <c r="B134" s="14" t="n"/>
      <c r="C134" s="14" t="n"/>
      <c r="D134" s="14" t="n"/>
      <c r="E134" s="14" t="n"/>
      <c r="F134" s="14" t="n"/>
      <c r="G134" s="14" t="n"/>
      <c r="H134" s="14" t="n"/>
      <c r="I134" s="14" t="n"/>
      <c r="J134" s="16" t="n"/>
      <c r="K134" s="14">
        <f>Table1[[#This Row],[Complexity]]*$A$11+SUM(Table1[[#This Row],[Other 
Integration]:[OEM 
Integration]])*$C$11</f>
        <v/>
      </c>
      <c r="L134" s="7" t="n"/>
      <c r="M134" s="7" t="n"/>
    </row>
    <row r="135">
      <c r="A135" s="14" t="n">
        <v>119</v>
      </c>
      <c r="B135" s="14" t="n"/>
      <c r="C135" s="14" t="n"/>
      <c r="D135" s="14" t="n"/>
      <c r="E135" s="14" t="n"/>
      <c r="F135" s="14" t="n"/>
      <c r="G135" s="14" t="n"/>
      <c r="H135" s="14" t="n"/>
      <c r="I135" s="14" t="n"/>
      <c r="J135" s="16" t="n"/>
      <c r="K135" s="14">
        <f>Table1[[#This Row],[Complexity]]*$A$11+SUM(Table1[[#This Row],[Other 
Integration]:[OEM 
Integration]])*$C$11</f>
        <v/>
      </c>
      <c r="L135" s="7" t="n"/>
      <c r="M135" s="7" t="n"/>
    </row>
    <row r="136">
      <c r="A136" s="14" t="n">
        <v>120</v>
      </c>
      <c r="B136" s="14" t="n"/>
      <c r="C136" s="14" t="n"/>
      <c r="D136" s="14" t="n"/>
      <c r="E136" s="14" t="n"/>
      <c r="F136" s="14" t="n"/>
      <c r="G136" s="14" t="n"/>
      <c r="H136" s="14" t="n"/>
      <c r="I136" s="14" t="n"/>
      <c r="J136" s="16" t="n"/>
      <c r="K136" s="14">
        <f>Table1[[#This Row],[Complexity]]*$A$11+SUM(Table1[[#This Row],[Other 
Integration]:[OEM 
Integration]])*$C$11</f>
        <v/>
      </c>
      <c r="L136" s="7" t="n"/>
      <c r="M136" s="7" t="n"/>
    </row>
    <row r="137">
      <c r="A137" s="14" t="n">
        <v>121</v>
      </c>
      <c r="B137" s="14" t="n"/>
      <c r="C137" s="14" t="n"/>
      <c r="D137" s="14" t="n"/>
      <c r="E137" s="14" t="n"/>
      <c r="F137" s="14" t="n"/>
      <c r="G137" s="14" t="n"/>
      <c r="H137" s="14" t="n"/>
      <c r="I137" s="14" t="n"/>
      <c r="J137" s="16" t="n"/>
      <c r="K137" s="14">
        <f>Table1[[#This Row],[Complexity]]*$A$11+SUM(Table1[[#This Row],[Other 
Integration]:[OEM 
Integration]])*$C$11</f>
        <v/>
      </c>
      <c r="L137" s="7" t="n"/>
      <c r="M137" s="7" t="n"/>
    </row>
    <row r="138">
      <c r="A138" s="14" t="n">
        <v>122</v>
      </c>
      <c r="B138" s="14" t="n"/>
      <c r="C138" s="14" t="n"/>
      <c r="D138" s="14" t="n"/>
      <c r="E138" s="14" t="n"/>
      <c r="F138" s="14" t="n"/>
      <c r="G138" s="14" t="n"/>
      <c r="H138" s="14" t="n"/>
      <c r="I138" s="14" t="n"/>
      <c r="J138" s="16" t="n"/>
      <c r="K138" s="14">
        <f>Table1[[#This Row],[Complexity]]*$A$11+SUM(Table1[[#This Row],[Other 
Integration]:[OEM 
Integration]])*$C$11</f>
        <v/>
      </c>
      <c r="L138" s="7" t="n"/>
      <c r="M138" s="7" t="n"/>
    </row>
    <row r="139">
      <c r="A139" s="14" t="n">
        <v>123</v>
      </c>
      <c r="B139" s="14" t="n"/>
      <c r="C139" s="14" t="n"/>
      <c r="D139" s="14" t="n"/>
      <c r="E139" s="14" t="n"/>
      <c r="F139" s="14" t="n"/>
      <c r="G139" s="14" t="n"/>
      <c r="H139" s="14" t="n"/>
      <c r="I139" s="14" t="n"/>
      <c r="J139" s="16" t="n"/>
      <c r="K139" s="14">
        <f>Table1[[#This Row],[Complexity]]*$A$11+SUM(Table1[[#This Row],[Other 
Integration]:[OEM 
Integration]])*$C$11</f>
        <v/>
      </c>
      <c r="L139" s="7" t="n"/>
      <c r="M139" s="7" t="n"/>
    </row>
    <row r="140">
      <c r="A140" s="14" t="n">
        <v>124</v>
      </c>
      <c r="B140" s="14" t="n"/>
      <c r="C140" s="14" t="n"/>
      <c r="D140" s="14" t="n"/>
      <c r="E140" s="14" t="n"/>
      <c r="F140" s="14" t="n"/>
      <c r="G140" s="14" t="n"/>
      <c r="H140" s="14" t="n"/>
      <c r="I140" s="14" t="n"/>
      <c r="J140" s="16" t="n"/>
      <c r="K140" s="14">
        <f>Table1[[#This Row],[Complexity]]*$A$11+SUM(Table1[[#This Row],[Other 
Integration]:[OEM 
Integration]])*$C$11</f>
        <v/>
      </c>
      <c r="L140" s="7" t="n"/>
      <c r="M140" s="7" t="n"/>
    </row>
    <row r="141">
      <c r="A141" s="14" t="n">
        <v>125</v>
      </c>
      <c r="B141" s="14" t="n"/>
      <c r="C141" s="14" t="n"/>
      <c r="D141" s="14" t="n"/>
      <c r="E141" s="14" t="n"/>
      <c r="F141" s="14" t="n"/>
      <c r="G141" s="14" t="n"/>
      <c r="H141" s="14" t="n"/>
      <c r="I141" s="14" t="n"/>
      <c r="J141" s="16" t="n"/>
      <c r="K141" s="14">
        <f>Table1[[#This Row],[Complexity]]*$A$11+SUM(Table1[[#This Row],[Other 
Integration]:[OEM 
Integration]])*$C$11</f>
        <v/>
      </c>
      <c r="L141" s="7" t="n"/>
      <c r="M141" s="7" t="n"/>
    </row>
    <row r="142">
      <c r="A142" s="14" t="n">
        <v>126</v>
      </c>
      <c r="B142" s="14" t="n"/>
      <c r="C142" s="14" t="n"/>
      <c r="D142" s="14" t="n"/>
      <c r="E142" s="14" t="n"/>
      <c r="F142" s="14" t="n"/>
      <c r="G142" s="14" t="n"/>
      <c r="H142" s="14" t="n"/>
      <c r="I142" s="14" t="n"/>
      <c r="J142" s="16" t="n"/>
      <c r="K142" s="14">
        <f>Table1[[#This Row],[Complexity]]*$A$11+SUM(Table1[[#This Row],[Other 
Integration]:[OEM 
Integration]])*$C$11</f>
        <v/>
      </c>
      <c r="L142" s="7" t="n"/>
      <c r="M142" s="7" t="n"/>
    </row>
    <row r="143">
      <c r="A143" s="14" t="n">
        <v>127</v>
      </c>
      <c r="B143" s="14" t="n"/>
      <c r="C143" s="14" t="n"/>
      <c r="D143" s="14" t="n"/>
      <c r="E143" s="14" t="n"/>
      <c r="F143" s="14" t="n"/>
      <c r="G143" s="14" t="n"/>
      <c r="H143" s="14" t="n"/>
      <c r="I143" s="14" t="n"/>
      <c r="J143" s="16" t="n"/>
      <c r="K143" s="14">
        <f>Table1[[#This Row],[Complexity]]*$A$11+SUM(Table1[[#This Row],[Other 
Integration]:[OEM 
Integration]])*$C$11</f>
        <v/>
      </c>
      <c r="L143" s="7" t="n"/>
      <c r="M143" s="7" t="n"/>
    </row>
    <row r="144">
      <c r="A144" s="14" t="n">
        <v>128</v>
      </c>
      <c r="B144" s="14" t="n"/>
      <c r="C144" s="14" t="n"/>
      <c r="D144" s="14" t="n"/>
      <c r="E144" s="14" t="n"/>
      <c r="F144" s="14" t="n"/>
      <c r="G144" s="14" t="n"/>
      <c r="H144" s="14" t="n"/>
      <c r="I144" s="14" t="n"/>
      <c r="J144" s="16" t="n"/>
      <c r="K144" s="14">
        <f>Table1[[#This Row],[Complexity]]*$A$11+SUM(Table1[[#This Row],[Other 
Integration]:[OEM 
Integration]])*$C$11</f>
        <v/>
      </c>
      <c r="L144" s="7" t="n"/>
      <c r="M144" s="7" t="n"/>
    </row>
    <row r="145">
      <c r="A145" s="14" t="n">
        <v>129</v>
      </c>
      <c r="B145" s="14" t="n"/>
      <c r="C145" s="14" t="n"/>
      <c r="D145" s="14" t="n"/>
      <c r="E145" s="14" t="n"/>
      <c r="F145" s="14" t="n"/>
      <c r="G145" s="14" t="n"/>
      <c r="H145" s="14" t="n"/>
      <c r="I145" s="14" t="n"/>
      <c r="J145" s="16" t="n"/>
      <c r="K145" s="14">
        <f>Table1[[#This Row],[Complexity]]*$A$11+SUM(Table1[[#This Row],[Other 
Integration]:[OEM 
Integration]])*$C$11</f>
        <v/>
      </c>
      <c r="L145" s="7" t="n"/>
      <c r="M145" s="7" t="n"/>
    </row>
    <row r="146">
      <c r="A146" s="14" t="n">
        <v>130</v>
      </c>
      <c r="B146" s="14" t="n"/>
      <c r="C146" s="14" t="n"/>
      <c r="D146" s="14" t="n"/>
      <c r="E146" s="14" t="n"/>
      <c r="F146" s="14" t="n"/>
      <c r="G146" s="14" t="n"/>
      <c r="H146" s="14" t="n"/>
      <c r="I146" s="14" t="n"/>
      <c r="J146" s="16" t="n"/>
      <c r="K146" s="14">
        <f>Table1[[#This Row],[Complexity]]*$A$11+SUM(Table1[[#This Row],[Other 
Integration]:[OEM 
Integration]])*$C$11</f>
        <v/>
      </c>
      <c r="L146" s="7" t="n"/>
      <c r="M146" s="7" t="n"/>
    </row>
    <row r="147">
      <c r="A147" s="14" t="n">
        <v>131</v>
      </c>
      <c r="B147" s="14" t="n"/>
      <c r="C147" s="14" t="n"/>
      <c r="D147" s="14" t="n"/>
      <c r="E147" s="14" t="n"/>
      <c r="F147" s="14" t="n"/>
      <c r="G147" s="14" t="n"/>
      <c r="H147" s="14" t="n"/>
      <c r="I147" s="14" t="n"/>
      <c r="J147" s="16" t="n"/>
      <c r="K147" s="14">
        <f>Table1[[#This Row],[Complexity]]*$A$11+SUM(Table1[[#This Row],[Other 
Integration]:[OEM 
Integration]])*$C$11</f>
        <v/>
      </c>
      <c r="L147" s="7" t="n"/>
      <c r="M147" s="7" t="n"/>
    </row>
    <row r="148">
      <c r="A148" s="14" t="n">
        <v>132</v>
      </c>
      <c r="B148" s="14" t="n"/>
      <c r="C148" s="14" t="n"/>
      <c r="D148" s="14" t="n"/>
      <c r="E148" s="14" t="n"/>
      <c r="F148" s="14" t="n"/>
      <c r="G148" s="14" t="n"/>
      <c r="H148" s="14" t="n"/>
      <c r="I148" s="14" t="n"/>
      <c r="J148" s="16" t="n"/>
      <c r="K148" s="14">
        <f>Table1[[#This Row],[Complexity]]*$A$11+SUM(Table1[[#This Row],[Other 
Integration]:[OEM 
Integration]])*$C$11</f>
        <v/>
      </c>
      <c r="L148" s="7" t="n"/>
      <c r="M148" s="7" t="n"/>
    </row>
    <row r="149">
      <c r="A149" s="14" t="n">
        <v>133</v>
      </c>
      <c r="B149" s="14" t="n"/>
      <c r="C149" s="14" t="n"/>
      <c r="D149" s="14" t="n"/>
      <c r="E149" s="14" t="n"/>
      <c r="F149" s="14" t="n"/>
      <c r="G149" s="14" t="n"/>
      <c r="H149" s="14" t="n"/>
      <c r="I149" s="14" t="n"/>
      <c r="J149" s="16" t="n"/>
      <c r="K149" s="14">
        <f>Table1[[#This Row],[Complexity]]*$A$11+SUM(Table1[[#This Row],[Other 
Integration]:[OEM 
Integration]])*$C$11</f>
        <v/>
      </c>
      <c r="L149" s="7" t="n"/>
      <c r="M149" s="7" t="n"/>
    </row>
    <row r="150">
      <c r="A150" s="14" t="n">
        <v>134</v>
      </c>
      <c r="B150" s="14" t="n"/>
      <c r="C150" s="14" t="n"/>
      <c r="D150" s="14" t="n"/>
      <c r="E150" s="14" t="n"/>
      <c r="F150" s="14" t="n"/>
      <c r="G150" s="14" t="n"/>
      <c r="H150" s="14" t="n"/>
      <c r="I150" s="14" t="n"/>
      <c r="J150" s="16" t="n"/>
      <c r="K150" s="14">
        <f>Table1[[#This Row],[Complexity]]*$A$11+SUM(Table1[[#This Row],[Other 
Integration]:[OEM 
Integration]])*$C$11</f>
        <v/>
      </c>
      <c r="L150" s="7" t="n"/>
      <c r="M150" s="7" t="n"/>
    </row>
    <row r="151">
      <c r="A151" s="14" t="n">
        <v>135</v>
      </c>
      <c r="B151" s="14" t="n"/>
      <c r="C151" s="14" t="n"/>
      <c r="D151" s="14" t="n"/>
      <c r="E151" s="14" t="n"/>
      <c r="F151" s="14" t="n"/>
      <c r="G151" s="14" t="n"/>
      <c r="H151" s="14" t="n"/>
      <c r="I151" s="14" t="n"/>
      <c r="J151" s="16" t="n"/>
      <c r="K151" s="14">
        <f>Table1[[#This Row],[Complexity]]*$A$11+SUM(Table1[[#This Row],[Other 
Integration]:[OEM 
Integration]])*$C$11</f>
        <v/>
      </c>
      <c r="L151" s="7" t="n"/>
      <c r="M151" s="7" t="n"/>
    </row>
    <row r="152">
      <c r="A152" s="14" t="n">
        <v>136</v>
      </c>
      <c r="B152" s="14" t="n"/>
      <c r="C152" s="14" t="n"/>
      <c r="D152" s="14" t="n"/>
      <c r="E152" s="14" t="n"/>
      <c r="F152" s="14" t="n"/>
      <c r="G152" s="14" t="n"/>
      <c r="H152" s="14" t="n"/>
      <c r="I152" s="14" t="n"/>
      <c r="J152" s="16" t="n"/>
      <c r="K152" s="14">
        <f>Table1[[#This Row],[Complexity]]*$A$11+SUM(Table1[[#This Row],[Other 
Integration]:[OEM 
Integration]])*$C$11</f>
        <v/>
      </c>
      <c r="L152" s="7" t="n"/>
      <c r="M152" s="7" t="n"/>
    </row>
    <row r="153">
      <c r="A153" s="14" t="n">
        <v>137</v>
      </c>
      <c r="B153" s="14" t="n"/>
      <c r="C153" s="14" t="n"/>
      <c r="D153" s="14" t="n"/>
      <c r="E153" s="14" t="n"/>
      <c r="F153" s="14" t="n"/>
      <c r="G153" s="14" t="n"/>
      <c r="H153" s="14" t="n"/>
      <c r="I153" s="14" t="n"/>
      <c r="J153" s="16" t="n"/>
      <c r="K153" s="14">
        <f>Table1[[#This Row],[Complexity]]*$A$11+SUM(Table1[[#This Row],[Other 
Integration]:[OEM 
Integration]])*$C$11</f>
        <v/>
      </c>
      <c r="L153" s="7" t="n"/>
      <c r="M153" s="7" t="n"/>
    </row>
    <row r="154">
      <c r="A154" s="14" t="n">
        <v>138</v>
      </c>
      <c r="B154" s="14" t="n"/>
      <c r="C154" s="14" t="n"/>
      <c r="D154" s="14" t="n"/>
      <c r="E154" s="14" t="n"/>
      <c r="F154" s="14" t="n"/>
      <c r="G154" s="14" t="n"/>
      <c r="H154" s="14" t="n"/>
      <c r="I154" s="14" t="n"/>
      <c r="J154" s="16" t="n"/>
      <c r="K154" s="14">
        <f>Table1[[#This Row],[Complexity]]*$A$11+SUM(Table1[[#This Row],[Other 
Integration]:[OEM 
Integration]])*$C$11</f>
        <v/>
      </c>
      <c r="L154" s="7" t="n"/>
      <c r="M154" s="7" t="n"/>
    </row>
    <row r="155">
      <c r="A155" s="14" t="n">
        <v>139</v>
      </c>
      <c r="B155" s="14" t="n"/>
      <c r="C155" s="14" t="n"/>
      <c r="D155" s="14" t="n"/>
      <c r="E155" s="14" t="n"/>
      <c r="F155" s="14" t="n"/>
      <c r="G155" s="14" t="n"/>
      <c r="H155" s="14" t="n"/>
      <c r="I155" s="14" t="n"/>
      <c r="J155" s="16" t="n"/>
      <c r="K155" s="14">
        <f>Table1[[#This Row],[Complexity]]*$A$11+SUM(Table1[[#This Row],[Other 
Integration]:[OEM 
Integration]])*$C$11</f>
        <v/>
      </c>
      <c r="L155" s="7" t="n"/>
      <c r="M155" s="7" t="n"/>
    </row>
    <row r="156">
      <c r="A156" s="14" t="n">
        <v>140</v>
      </c>
      <c r="B156" s="14" t="n"/>
      <c r="C156" s="14" t="n"/>
      <c r="D156" s="14" t="n"/>
      <c r="E156" s="14" t="n"/>
      <c r="F156" s="14" t="n"/>
      <c r="G156" s="14" t="n"/>
      <c r="H156" s="14" t="n"/>
      <c r="I156" s="14" t="n"/>
      <c r="J156" s="16" t="n"/>
      <c r="K156" s="14">
        <f>Table1[[#This Row],[Complexity]]*$A$11+SUM(Table1[[#This Row],[Other 
Integration]:[OEM 
Integration]])*$C$11</f>
        <v/>
      </c>
      <c r="L156" s="7" t="n"/>
      <c r="M156" s="7" t="n"/>
    </row>
    <row r="157">
      <c r="A157" s="14" t="n">
        <v>141</v>
      </c>
      <c r="B157" s="14" t="n"/>
      <c r="C157" s="14" t="n"/>
      <c r="D157" s="14" t="n"/>
      <c r="E157" s="14" t="n"/>
      <c r="F157" s="14" t="n"/>
      <c r="G157" s="14" t="n"/>
      <c r="H157" s="14" t="n"/>
      <c r="I157" s="14" t="n"/>
      <c r="J157" s="16" t="n"/>
      <c r="K157" s="14">
        <f>Table1[[#This Row],[Complexity]]*$A$11+SUM(Table1[[#This Row],[Other 
Integration]:[OEM 
Integration]])*$C$11</f>
        <v/>
      </c>
      <c r="L157" s="7" t="n"/>
      <c r="M157" s="7" t="n"/>
    </row>
    <row r="158">
      <c r="A158" s="14" t="n">
        <v>142</v>
      </c>
      <c r="B158" s="14" t="n"/>
      <c r="C158" s="14" t="n"/>
      <c r="D158" s="14" t="n"/>
      <c r="E158" s="14" t="n"/>
      <c r="F158" s="14" t="n"/>
      <c r="G158" s="14" t="n"/>
      <c r="H158" s="14" t="n"/>
      <c r="I158" s="14" t="n"/>
      <c r="J158" s="16" t="n"/>
      <c r="K158" s="14">
        <f>Table1[[#This Row],[Complexity]]*$A$11+SUM(Table1[[#This Row],[Other 
Integration]:[OEM 
Integration]])*$C$11</f>
        <v/>
      </c>
      <c r="L158" s="7" t="n"/>
      <c r="M158" s="7" t="n"/>
    </row>
    <row r="159">
      <c r="A159" s="14" t="n">
        <v>143</v>
      </c>
      <c r="B159" s="14" t="n"/>
      <c r="C159" s="14" t="n"/>
      <c r="D159" s="14" t="n"/>
      <c r="E159" s="14" t="n"/>
      <c r="F159" s="14" t="n"/>
      <c r="G159" s="14" t="n"/>
      <c r="H159" s="14" t="n"/>
      <c r="I159" s="14" t="n"/>
      <c r="J159" s="16" t="n"/>
      <c r="K159" s="14">
        <f>Table1[[#This Row],[Complexity]]*$A$11+SUM(Table1[[#This Row],[Other 
Integration]:[OEM 
Integration]])*$C$11</f>
        <v/>
      </c>
      <c r="L159" s="7" t="n"/>
      <c r="M159" s="7" t="n"/>
    </row>
    <row r="160">
      <c r="A160" s="14" t="n">
        <v>144</v>
      </c>
      <c r="B160" s="14" t="n"/>
      <c r="C160" s="14" t="n"/>
      <c r="D160" s="14" t="n"/>
      <c r="E160" s="14" t="n"/>
      <c r="F160" s="14" t="n"/>
      <c r="G160" s="14" t="n"/>
      <c r="H160" s="14" t="n"/>
      <c r="I160" s="14" t="n"/>
      <c r="J160" s="16" t="n"/>
      <c r="K160" s="14">
        <f>Table1[[#This Row],[Complexity]]*$A$11+SUM(Table1[[#This Row],[Other 
Integration]:[OEM 
Integration]])*$C$11</f>
        <v/>
      </c>
      <c r="L160" s="7" t="n"/>
      <c r="M160" s="7" t="n"/>
    </row>
    <row r="161">
      <c r="A161" s="14" t="n">
        <v>145</v>
      </c>
      <c r="B161" s="14" t="n"/>
      <c r="C161" s="14" t="n"/>
      <c r="D161" s="14" t="n"/>
      <c r="E161" s="14" t="n"/>
      <c r="F161" s="14" t="n"/>
      <c r="G161" s="14" t="n"/>
      <c r="H161" s="14" t="n"/>
      <c r="I161" s="14" t="n"/>
      <c r="J161" s="16" t="n"/>
      <c r="K161" s="14">
        <f>Table1[[#This Row],[Complexity]]*$A$11+SUM(Table1[[#This Row],[Other 
Integration]:[OEM 
Integration]])*$C$11</f>
        <v/>
      </c>
      <c r="L161" s="7" t="n"/>
      <c r="M161" s="7" t="n"/>
    </row>
    <row r="162">
      <c r="A162" s="14" t="n">
        <v>146</v>
      </c>
      <c r="B162" s="14" t="n"/>
      <c r="C162" s="14" t="n"/>
      <c r="D162" s="14" t="n"/>
      <c r="E162" s="14" t="n"/>
      <c r="F162" s="14" t="n"/>
      <c r="G162" s="14" t="n"/>
      <c r="H162" s="14" t="n"/>
      <c r="I162" s="14" t="n"/>
      <c r="J162" s="16" t="n"/>
      <c r="K162" s="14">
        <f>Table1[[#This Row],[Complexity]]*$A$11+SUM(Table1[[#This Row],[Other 
Integration]:[OEM 
Integration]])*$C$11</f>
        <v/>
      </c>
      <c r="L162" s="7" t="n"/>
      <c r="M162" s="7" t="n"/>
    </row>
    <row r="163">
      <c r="A163" s="14" t="n">
        <v>147</v>
      </c>
      <c r="B163" s="14" t="n"/>
      <c r="C163" s="14" t="n"/>
      <c r="D163" s="14" t="n"/>
      <c r="E163" s="14" t="n"/>
      <c r="F163" s="14" t="n"/>
      <c r="G163" s="14" t="n"/>
      <c r="H163" s="14" t="n"/>
      <c r="I163" s="14" t="n"/>
      <c r="J163" s="16" t="n"/>
      <c r="K163" s="14">
        <f>Table1[[#This Row],[Complexity]]*$A$11+SUM(Table1[[#This Row],[Other 
Integration]:[OEM 
Integration]])*$C$11</f>
        <v/>
      </c>
      <c r="L163" s="7" t="n"/>
      <c r="M163" s="7" t="n"/>
    </row>
    <row r="164">
      <c r="A164" s="14" t="n">
        <v>148</v>
      </c>
      <c r="B164" s="14" t="n"/>
      <c r="C164" s="14" t="n"/>
      <c r="D164" s="14" t="n"/>
      <c r="E164" s="14" t="n"/>
      <c r="F164" s="14" t="n"/>
      <c r="G164" s="14" t="n"/>
      <c r="H164" s="14" t="n"/>
      <c r="I164" s="14" t="n"/>
      <c r="J164" s="16" t="n"/>
      <c r="K164" s="14">
        <f>Table1[[#This Row],[Complexity]]*$A$11+SUM(Table1[[#This Row],[Other 
Integration]:[OEM 
Integration]])*$C$11</f>
        <v/>
      </c>
      <c r="L164" s="7" t="n"/>
      <c r="M164" s="7" t="n"/>
    </row>
    <row r="165">
      <c r="A165" s="14" t="n">
        <v>149</v>
      </c>
      <c r="B165" s="14" t="n"/>
      <c r="C165" s="14" t="n"/>
      <c r="D165" s="14" t="n"/>
      <c r="E165" s="14" t="n"/>
      <c r="F165" s="14" t="n"/>
      <c r="G165" s="14" t="n"/>
      <c r="H165" s="14" t="n"/>
      <c r="I165" s="14" t="n"/>
      <c r="J165" s="16" t="n"/>
      <c r="K165" s="14">
        <f>Table1[[#This Row],[Complexity]]*$A$11+SUM(Table1[[#This Row],[Other 
Integration]:[OEM 
Integration]])*$C$11</f>
        <v/>
      </c>
      <c r="L165" s="7" t="n"/>
      <c r="M165" s="7" t="n"/>
    </row>
    <row r="166">
      <c r="A166" s="14" t="n">
        <v>150</v>
      </c>
      <c r="B166" s="14" t="n"/>
      <c r="C166" s="14" t="n"/>
      <c r="D166" s="14" t="n"/>
      <c r="E166" s="14" t="n"/>
      <c r="F166" s="14" t="n"/>
      <c r="G166" s="14" t="n"/>
      <c r="H166" s="14" t="n"/>
      <c r="I166" s="14" t="n"/>
      <c r="J166" s="16" t="n"/>
      <c r="K166" s="14">
        <f>Table1[[#This Row],[Complexity]]*$A$11+SUM(Table1[[#This Row],[Other 
Integration]:[OEM 
Integration]])*$C$11</f>
        <v/>
      </c>
      <c r="L166" s="7" t="n"/>
      <c r="M166" s="7" t="n"/>
    </row>
    <row r="167">
      <c r="A167" s="14" t="n">
        <v>151</v>
      </c>
      <c r="B167" s="14" t="n"/>
      <c r="C167" s="14" t="n"/>
      <c r="D167" s="14" t="n"/>
      <c r="E167" s="14" t="n"/>
      <c r="F167" s="14" t="n"/>
      <c r="G167" s="14" t="n"/>
      <c r="H167" s="14" t="n"/>
      <c r="I167" s="14" t="n"/>
      <c r="J167" s="16" t="n"/>
      <c r="K167" s="14">
        <f>Table1[[#This Row],[Complexity]]*$A$11+SUM(Table1[[#This Row],[Other 
Integration]:[OEM 
Integration]])*$C$11</f>
        <v/>
      </c>
      <c r="L167" s="7" t="n"/>
      <c r="M167" s="7" t="n"/>
    </row>
    <row r="168">
      <c r="A168" s="14" t="n">
        <v>152</v>
      </c>
      <c r="B168" s="14" t="n"/>
      <c r="C168" s="14" t="n"/>
      <c r="D168" s="14" t="n"/>
      <c r="E168" s="14" t="n"/>
      <c r="F168" s="14" t="n"/>
      <c r="G168" s="14" t="n"/>
      <c r="H168" s="14" t="n"/>
      <c r="I168" s="14" t="n"/>
      <c r="J168" s="16" t="n"/>
      <c r="K168" s="14">
        <f>Table1[[#This Row],[Complexity]]*$A$11+SUM(Table1[[#This Row],[Other 
Integration]:[OEM 
Integration]])*$C$11</f>
        <v/>
      </c>
      <c r="L168" s="7" t="n"/>
      <c r="M168" s="7" t="n"/>
    </row>
    <row r="169">
      <c r="A169" s="14" t="n">
        <v>153</v>
      </c>
      <c r="B169" s="14" t="n"/>
      <c r="C169" s="14" t="n"/>
      <c r="D169" s="14" t="n"/>
      <c r="E169" s="14" t="n"/>
      <c r="F169" s="14" t="n"/>
      <c r="G169" s="14" t="n"/>
      <c r="H169" s="14" t="n"/>
      <c r="I169" s="14" t="n"/>
      <c r="J169" s="16" t="n"/>
      <c r="K169" s="14">
        <f>Table1[[#This Row],[Complexity]]*$A$11+SUM(Table1[[#This Row],[Other 
Integration]:[OEM 
Integration]])*$C$11</f>
        <v/>
      </c>
      <c r="L169" s="7" t="n"/>
      <c r="M169" s="7" t="n"/>
    </row>
    <row r="170">
      <c r="A170" s="14" t="n">
        <v>154</v>
      </c>
      <c r="B170" s="14" t="n"/>
      <c r="C170" s="14" t="n"/>
      <c r="D170" s="14" t="n"/>
      <c r="E170" s="14" t="n"/>
      <c r="F170" s="14" t="n"/>
      <c r="G170" s="14" t="n"/>
      <c r="H170" s="14" t="n"/>
      <c r="I170" s="14" t="n"/>
      <c r="J170" s="16" t="n"/>
      <c r="K170" s="14">
        <f>Table1[[#This Row],[Complexity]]*$A$11+SUM(Table1[[#This Row],[Other 
Integration]:[OEM 
Integration]])*$C$11</f>
        <v/>
      </c>
      <c r="L170" s="7" t="n"/>
      <c r="M170" s="7" t="n"/>
    </row>
    <row r="171">
      <c r="A171" s="14" t="n">
        <v>155</v>
      </c>
      <c r="B171" s="14" t="n"/>
      <c r="C171" s="14" t="n"/>
      <c r="D171" s="14" t="n"/>
      <c r="E171" s="14" t="n"/>
      <c r="F171" s="14" t="n"/>
      <c r="G171" s="14" t="n"/>
      <c r="H171" s="14" t="n"/>
      <c r="I171" s="14" t="n"/>
      <c r="J171" s="16" t="n"/>
      <c r="K171" s="14">
        <f>Table1[[#This Row],[Complexity]]*$A$11+SUM(Table1[[#This Row],[Other 
Integration]:[OEM 
Integration]])*$C$11</f>
        <v/>
      </c>
      <c r="L171" s="7" t="n"/>
      <c r="M171" s="7" t="n"/>
    </row>
    <row r="172">
      <c r="A172" s="14" t="n">
        <v>156</v>
      </c>
      <c r="B172" s="14" t="n"/>
      <c r="C172" s="14" t="n"/>
      <c r="D172" s="14" t="n"/>
      <c r="E172" s="14" t="n"/>
      <c r="F172" s="14" t="n"/>
      <c r="G172" s="14" t="n"/>
      <c r="H172" s="14" t="n"/>
      <c r="I172" s="14" t="n"/>
      <c r="J172" s="16" t="n"/>
      <c r="K172" s="14">
        <f>Table1[[#This Row],[Complexity]]*$A$11+SUM(Table1[[#This Row],[Other 
Integration]:[OEM 
Integration]])*$C$11</f>
        <v/>
      </c>
      <c r="L172" s="7" t="n"/>
      <c r="M172" s="7" t="n"/>
    </row>
    <row r="173">
      <c r="A173" s="14" t="n">
        <v>157</v>
      </c>
      <c r="B173" s="14" t="n"/>
      <c r="C173" s="14" t="n"/>
      <c r="D173" s="14" t="n"/>
      <c r="E173" s="14" t="n"/>
      <c r="F173" s="14" t="n"/>
      <c r="G173" s="14" t="n"/>
      <c r="H173" s="14" t="n"/>
      <c r="I173" s="14" t="n"/>
      <c r="J173" s="16" t="n"/>
      <c r="K173" s="14">
        <f>Table1[[#This Row],[Complexity]]*$A$11+SUM(Table1[[#This Row],[Other 
Integration]:[OEM 
Integration]])*$C$11</f>
        <v/>
      </c>
      <c r="L173" s="7" t="n"/>
      <c r="M173" s="7" t="n"/>
    </row>
    <row r="174">
      <c r="A174" s="14" t="n">
        <v>158</v>
      </c>
      <c r="B174" s="14" t="n"/>
      <c r="C174" s="14" t="n"/>
      <c r="D174" s="14" t="n"/>
      <c r="E174" s="14" t="n"/>
      <c r="F174" s="14" t="n"/>
      <c r="G174" s="14" t="n"/>
      <c r="H174" s="14" t="n"/>
      <c r="I174" s="14" t="n"/>
      <c r="J174" s="16" t="n"/>
      <c r="K174" s="14">
        <f>Table1[[#This Row],[Complexity]]*$A$11+SUM(Table1[[#This Row],[Other 
Integration]:[OEM 
Integration]])*$C$11</f>
        <v/>
      </c>
      <c r="L174" s="7" t="n"/>
      <c r="M174" s="7" t="n"/>
    </row>
    <row r="175">
      <c r="A175" s="14" t="n">
        <v>159</v>
      </c>
      <c r="B175" s="14" t="n"/>
      <c r="C175" s="14" t="n"/>
      <c r="D175" s="14" t="n"/>
      <c r="E175" s="14" t="n"/>
      <c r="F175" s="14" t="n"/>
      <c r="G175" s="14" t="n"/>
      <c r="H175" s="14" t="n"/>
      <c r="I175" s="14" t="n"/>
      <c r="J175" s="16" t="n"/>
      <c r="K175" s="14">
        <f>Table1[[#This Row],[Complexity]]*$A$11+SUM(Table1[[#This Row],[Other 
Integration]:[OEM 
Integration]])*$C$11</f>
        <v/>
      </c>
      <c r="L175" s="7" t="n"/>
      <c r="M175" s="7" t="n"/>
    </row>
    <row r="176">
      <c r="A176" s="14" t="n">
        <v>160</v>
      </c>
      <c r="B176" s="14" t="n"/>
      <c r="C176" s="14" t="n"/>
      <c r="D176" s="14" t="n"/>
      <c r="E176" s="14" t="n"/>
      <c r="F176" s="14" t="n"/>
      <c r="G176" s="14" t="n"/>
      <c r="H176" s="14" t="n"/>
      <c r="I176" s="14" t="n"/>
      <c r="J176" s="16" t="n"/>
      <c r="K176" s="14">
        <f>Table1[[#This Row],[Complexity]]*$A$11+SUM(Table1[[#This Row],[Other 
Integration]:[OEM 
Integration]])*$C$11</f>
        <v/>
      </c>
      <c r="L176" s="7" t="n"/>
      <c r="M176" s="7" t="n"/>
    </row>
    <row r="177">
      <c r="A177" s="14" t="n">
        <v>161</v>
      </c>
      <c r="B177" s="14" t="n"/>
      <c r="C177" s="14" t="n"/>
      <c r="D177" s="14" t="n"/>
      <c r="E177" s="14" t="n"/>
      <c r="F177" s="14" t="n"/>
      <c r="G177" s="14" t="n"/>
      <c r="H177" s="14" t="n"/>
      <c r="I177" s="14" t="n"/>
      <c r="J177" s="16" t="n"/>
      <c r="K177" s="14">
        <f>Table1[[#This Row],[Complexity]]*$A$11+SUM(Table1[[#This Row],[Other 
Integration]:[OEM 
Integration]])*$C$11</f>
        <v/>
      </c>
      <c r="L177" s="7" t="n"/>
      <c r="M177" s="7" t="n"/>
    </row>
    <row r="178">
      <c r="A178" s="14" t="n">
        <v>162</v>
      </c>
      <c r="B178" s="14" t="n"/>
      <c r="C178" s="14" t="n"/>
      <c r="D178" s="14" t="n"/>
      <c r="E178" s="14" t="n"/>
      <c r="F178" s="14" t="n"/>
      <c r="G178" s="14" t="n"/>
      <c r="H178" s="14" t="n"/>
      <c r="I178" s="14" t="n"/>
      <c r="J178" s="16" t="n"/>
      <c r="K178" s="14">
        <f>Table1[[#This Row],[Complexity]]*$A$11+SUM(Table1[[#This Row],[Other 
Integration]:[OEM 
Integration]])*$C$11</f>
        <v/>
      </c>
      <c r="L178" s="7" t="n"/>
      <c r="M178" s="7" t="n"/>
    </row>
    <row r="179">
      <c r="A179" s="14" t="n">
        <v>163</v>
      </c>
      <c r="B179" s="14" t="n"/>
      <c r="C179" s="14" t="n"/>
      <c r="D179" s="14" t="n"/>
      <c r="E179" s="14" t="n"/>
      <c r="F179" s="14" t="n"/>
      <c r="G179" s="14" t="n"/>
      <c r="H179" s="14" t="n"/>
      <c r="I179" s="14" t="n"/>
      <c r="J179" s="16" t="n"/>
      <c r="K179" s="14">
        <f>Table1[[#This Row],[Complexity]]*$A$11+SUM(Table1[[#This Row],[Other 
Integration]:[OEM 
Integration]])*$C$11</f>
        <v/>
      </c>
      <c r="L179" s="7" t="n"/>
      <c r="M179" s="7" t="n"/>
    </row>
    <row r="180">
      <c r="A180" s="14" t="n">
        <v>164</v>
      </c>
      <c r="B180" s="14" t="n"/>
      <c r="C180" s="14" t="n"/>
      <c r="D180" s="14" t="n"/>
      <c r="E180" s="14" t="n"/>
      <c r="F180" s="14" t="n"/>
      <c r="G180" s="14" t="n"/>
      <c r="H180" s="14" t="n"/>
      <c r="I180" s="14" t="n"/>
      <c r="J180" s="16" t="n"/>
      <c r="K180" s="14">
        <f>Table1[[#This Row],[Complexity]]*$A$11+SUM(Table1[[#This Row],[Other 
Integration]:[OEM 
Integration]])*$C$11</f>
        <v/>
      </c>
      <c r="L180" s="7" t="n"/>
      <c r="M180" s="7" t="n"/>
    </row>
    <row r="181">
      <c r="A181" s="14" t="n">
        <v>165</v>
      </c>
      <c r="B181" s="14" t="n"/>
      <c r="C181" s="14" t="n"/>
      <c r="D181" s="14" t="n"/>
      <c r="E181" s="14" t="n"/>
      <c r="F181" s="14" t="n"/>
      <c r="G181" s="14" t="n"/>
      <c r="H181" s="14" t="n"/>
      <c r="I181" s="14" t="n"/>
      <c r="J181" s="16" t="n"/>
      <c r="K181" s="14">
        <f>Table1[[#This Row],[Complexity]]*$A$11+SUM(Table1[[#This Row],[Other 
Integration]:[OEM 
Integration]])*$C$11</f>
        <v/>
      </c>
      <c r="L181" s="7" t="n"/>
      <c r="M181" s="7" t="n"/>
    </row>
    <row r="182">
      <c r="A182" s="14" t="n">
        <v>166</v>
      </c>
      <c r="B182" s="14" t="n"/>
      <c r="C182" s="14" t="n"/>
      <c r="D182" s="14" t="n"/>
      <c r="E182" s="14" t="n"/>
      <c r="F182" s="14" t="n"/>
      <c r="G182" s="14" t="n"/>
      <c r="H182" s="14" t="n"/>
      <c r="I182" s="14" t="n"/>
      <c r="J182" s="16" t="n"/>
      <c r="K182" s="14">
        <f>Table1[[#This Row],[Complexity]]*$A$11+SUM(Table1[[#This Row],[Other 
Integration]:[OEM 
Integration]])*$C$11</f>
        <v/>
      </c>
      <c r="L182" s="7" t="n"/>
      <c r="M182" s="7" t="n"/>
    </row>
    <row r="183">
      <c r="A183" s="14" t="n">
        <v>167</v>
      </c>
      <c r="B183" s="14" t="n"/>
      <c r="C183" s="14" t="n"/>
      <c r="D183" s="14" t="n"/>
      <c r="E183" s="14" t="n"/>
      <c r="F183" s="14" t="n"/>
      <c r="G183" s="14" t="n"/>
      <c r="H183" s="14" t="n"/>
      <c r="I183" s="14" t="n"/>
      <c r="J183" s="16" t="n"/>
      <c r="K183" s="14">
        <f>Table1[[#This Row],[Complexity]]*$A$11+SUM(Table1[[#This Row],[Other 
Integration]:[OEM 
Integration]])*$C$11</f>
        <v/>
      </c>
      <c r="L183" s="7" t="n"/>
      <c r="M183" s="7" t="n"/>
    </row>
    <row r="184">
      <c r="A184" s="14" t="n">
        <v>168</v>
      </c>
      <c r="B184" s="14" t="n"/>
      <c r="C184" s="14" t="n"/>
      <c r="D184" s="14" t="n"/>
      <c r="E184" s="14" t="n"/>
      <c r="F184" s="14" t="n"/>
      <c r="G184" s="14" t="n"/>
      <c r="H184" s="14" t="n"/>
      <c r="I184" s="14" t="n"/>
      <c r="J184" s="16" t="n"/>
      <c r="K184" s="14">
        <f>Table1[[#This Row],[Complexity]]*$A$11+SUM(Table1[[#This Row],[Other 
Integration]:[OEM 
Integration]])*$C$11</f>
        <v/>
      </c>
      <c r="L184" s="7" t="n"/>
      <c r="M184" s="7" t="n"/>
    </row>
    <row r="185">
      <c r="A185" s="14" t="n">
        <v>169</v>
      </c>
      <c r="B185" s="14" t="n"/>
      <c r="C185" s="14" t="n"/>
      <c r="D185" s="14" t="n"/>
      <c r="E185" s="14" t="n"/>
      <c r="F185" s="14" t="n"/>
      <c r="G185" s="14" t="n"/>
      <c r="H185" s="14" t="n"/>
      <c r="I185" s="14" t="n"/>
      <c r="J185" s="16" t="n"/>
      <c r="K185" s="14">
        <f>Table1[[#This Row],[Complexity]]*$A$11+SUM(Table1[[#This Row],[Other 
Integration]:[OEM 
Integration]])*$C$11</f>
        <v/>
      </c>
      <c r="L185" s="7" t="n"/>
      <c r="M185" s="7" t="n"/>
    </row>
    <row r="186">
      <c r="A186" s="14" t="n">
        <v>170</v>
      </c>
      <c r="B186" s="14" t="n"/>
      <c r="C186" s="14" t="n"/>
      <c r="D186" s="14" t="n"/>
      <c r="E186" s="14" t="n"/>
      <c r="F186" s="14" t="n"/>
      <c r="G186" s="14" t="n"/>
      <c r="H186" s="14" t="n"/>
      <c r="I186" s="14" t="n"/>
      <c r="J186" s="16" t="n"/>
      <c r="K186" s="14">
        <f>Table1[[#This Row],[Complexity]]*$A$11+SUM(Table1[[#This Row],[Other 
Integration]:[OEM 
Integration]])*$C$11</f>
        <v/>
      </c>
      <c r="L186" s="7" t="n"/>
      <c r="M186" s="7" t="n"/>
    </row>
    <row r="187">
      <c r="A187" s="14" t="n">
        <v>171</v>
      </c>
      <c r="B187" s="14" t="n"/>
      <c r="C187" s="14" t="n"/>
      <c r="D187" s="14" t="n"/>
      <c r="E187" s="14" t="n"/>
      <c r="F187" s="14" t="n"/>
      <c r="G187" s="14" t="n"/>
      <c r="H187" s="14" t="n"/>
      <c r="I187" s="14" t="n"/>
      <c r="J187" s="16" t="n"/>
      <c r="K187" s="14">
        <f>Table1[[#This Row],[Complexity]]*$A$11+SUM(Table1[[#This Row],[Other 
Integration]:[OEM 
Integration]])*$C$11</f>
        <v/>
      </c>
      <c r="L187" s="7" t="n"/>
      <c r="M187" s="7" t="n"/>
    </row>
    <row r="188">
      <c r="A188" s="14" t="n">
        <v>172</v>
      </c>
      <c r="B188" s="14" t="n"/>
      <c r="C188" s="14" t="n"/>
      <c r="D188" s="14" t="n"/>
      <c r="E188" s="14" t="n"/>
      <c r="F188" s="14" t="n"/>
      <c r="G188" s="14" t="n"/>
      <c r="H188" s="14" t="n"/>
      <c r="I188" s="14" t="n"/>
      <c r="J188" s="16" t="n"/>
      <c r="K188" s="14">
        <f>Table1[[#This Row],[Complexity]]*$A$11+SUM(Table1[[#This Row],[Other 
Integration]:[OEM 
Integration]])*$C$11</f>
        <v/>
      </c>
      <c r="L188" s="7" t="n"/>
      <c r="M188" s="7" t="n"/>
    </row>
    <row r="189">
      <c r="A189" s="14" t="n">
        <v>173</v>
      </c>
      <c r="B189" s="14" t="n"/>
      <c r="C189" s="14" t="n"/>
      <c r="D189" s="14" t="n"/>
      <c r="E189" s="14" t="n"/>
      <c r="F189" s="14" t="n"/>
      <c r="G189" s="14" t="n"/>
      <c r="H189" s="14" t="n"/>
      <c r="I189" s="14" t="n"/>
      <c r="J189" s="16" t="n"/>
      <c r="K189" s="14">
        <f>Table1[[#This Row],[Complexity]]*$A$11+SUM(Table1[[#This Row],[Other 
Integration]:[OEM 
Integration]])*$C$11</f>
        <v/>
      </c>
      <c r="L189" s="7" t="n"/>
      <c r="M189" s="7" t="n"/>
    </row>
    <row r="190">
      <c r="A190" s="14" t="n">
        <v>174</v>
      </c>
      <c r="B190" s="14" t="n"/>
      <c r="C190" s="14" t="n"/>
      <c r="D190" s="14" t="n"/>
      <c r="E190" s="14" t="n"/>
      <c r="F190" s="14" t="n"/>
      <c r="G190" s="14" t="n"/>
      <c r="H190" s="14" t="n"/>
      <c r="I190" s="14" t="n"/>
      <c r="J190" s="16" t="n"/>
      <c r="K190" s="14">
        <f>Table1[[#This Row],[Complexity]]*$A$11+SUM(Table1[[#This Row],[Other 
Integration]:[OEM 
Integration]])*$C$11</f>
        <v/>
      </c>
      <c r="L190" s="7" t="n"/>
      <c r="M190" s="7" t="n"/>
    </row>
    <row r="191">
      <c r="A191" s="14" t="n">
        <v>175</v>
      </c>
      <c r="B191" s="14" t="n"/>
      <c r="C191" s="14" t="n"/>
      <c r="D191" s="14" t="n"/>
      <c r="E191" s="14" t="n"/>
      <c r="F191" s="14" t="n"/>
      <c r="G191" s="14" t="n"/>
      <c r="H191" s="14" t="n"/>
      <c r="I191" s="14" t="n"/>
      <c r="J191" s="16" t="n"/>
      <c r="K191" s="14">
        <f>Table1[[#This Row],[Complexity]]*$A$11+SUM(Table1[[#This Row],[Other 
Integration]:[OEM 
Integration]])*$C$11</f>
        <v/>
      </c>
      <c r="L191" s="7" t="n"/>
      <c r="M191" s="7" t="n"/>
    </row>
    <row r="192">
      <c r="A192" s="14" t="n">
        <v>176</v>
      </c>
      <c r="B192" s="14" t="n"/>
      <c r="C192" s="14" t="n"/>
      <c r="D192" s="14" t="n"/>
      <c r="E192" s="14" t="n"/>
      <c r="F192" s="14" t="n"/>
      <c r="G192" s="14" t="n"/>
      <c r="H192" s="14" t="n"/>
      <c r="I192" s="14" t="n"/>
      <c r="J192" s="16" t="n"/>
      <c r="K192" s="14">
        <f>Table1[[#This Row],[Complexity]]*$A$11+SUM(Table1[[#This Row],[Other 
Integration]:[OEM 
Integration]])*$C$11</f>
        <v/>
      </c>
      <c r="L192" s="7" t="n"/>
      <c r="M192" s="7" t="n"/>
    </row>
    <row r="193">
      <c r="A193" s="14" t="n">
        <v>177</v>
      </c>
      <c r="B193" s="14" t="n"/>
      <c r="C193" s="14" t="n"/>
      <c r="D193" s="14" t="n"/>
      <c r="E193" s="14" t="n"/>
      <c r="F193" s="14" t="n"/>
      <c r="G193" s="14" t="n"/>
      <c r="H193" s="14" t="n"/>
      <c r="I193" s="14" t="n"/>
      <c r="J193" s="16" t="n"/>
      <c r="K193" s="14">
        <f>Table1[[#This Row],[Complexity]]*$A$11+SUM(Table1[[#This Row],[Other 
Integration]:[OEM 
Integration]])*$C$11</f>
        <v/>
      </c>
      <c r="L193" s="7" t="n"/>
      <c r="M193" s="7" t="n"/>
    </row>
    <row r="194">
      <c r="A194" s="14" t="n">
        <v>178</v>
      </c>
      <c r="B194" s="14" t="n"/>
      <c r="C194" s="14" t="n"/>
      <c r="D194" s="14" t="n"/>
      <c r="E194" s="14" t="n"/>
      <c r="F194" s="14" t="n"/>
      <c r="G194" s="14" t="n"/>
      <c r="H194" s="14" t="n"/>
      <c r="I194" s="14" t="n"/>
      <c r="J194" s="16" t="n"/>
      <c r="K194" s="14">
        <f>Table1[[#This Row],[Complexity]]*$A$11+SUM(Table1[[#This Row],[Other 
Integration]:[OEM 
Integration]])*$C$11</f>
        <v/>
      </c>
      <c r="L194" s="7" t="n"/>
      <c r="M194" s="7" t="n"/>
    </row>
    <row r="195">
      <c r="A195" s="14" t="n">
        <v>179</v>
      </c>
      <c r="B195" s="14" t="n"/>
      <c r="C195" s="14" t="n"/>
      <c r="D195" s="14" t="n"/>
      <c r="E195" s="14" t="n"/>
      <c r="F195" s="14" t="n"/>
      <c r="G195" s="14" t="n"/>
      <c r="H195" s="14" t="n"/>
      <c r="I195" s="14" t="n"/>
      <c r="J195" s="16" t="n"/>
      <c r="K195" s="14">
        <f>Table1[[#This Row],[Complexity]]*$A$11+SUM(Table1[[#This Row],[Other 
Integration]:[OEM 
Integration]])*$C$11</f>
        <v/>
      </c>
      <c r="L195" s="7" t="n"/>
      <c r="M195" s="7" t="n"/>
    </row>
    <row r="196">
      <c r="A196" s="14" t="n">
        <v>180</v>
      </c>
      <c r="B196" s="14" t="n"/>
      <c r="C196" s="14" t="n"/>
      <c r="D196" s="14" t="n"/>
      <c r="E196" s="14" t="n"/>
      <c r="F196" s="14" t="n"/>
      <c r="G196" s="14" t="n"/>
      <c r="H196" s="14" t="n"/>
      <c r="I196" s="14" t="n"/>
      <c r="J196" s="16" t="n"/>
      <c r="K196" s="14">
        <f>Table1[[#This Row],[Complexity]]*$A$11+SUM(Table1[[#This Row],[Other 
Integration]:[OEM 
Integration]])*$C$11</f>
        <v/>
      </c>
      <c r="L196" s="7" t="n"/>
      <c r="M196" s="7" t="n"/>
    </row>
    <row r="197">
      <c r="A197" s="14" t="n">
        <v>181</v>
      </c>
      <c r="B197" s="14" t="n"/>
      <c r="C197" s="14" t="n"/>
      <c r="D197" s="14" t="n"/>
      <c r="E197" s="14" t="n"/>
      <c r="F197" s="14" t="n"/>
      <c r="G197" s="14" t="n"/>
      <c r="H197" s="14" t="n"/>
      <c r="I197" s="14" t="n"/>
      <c r="J197" s="16" t="n"/>
      <c r="K197" s="14">
        <f>Table1[[#This Row],[Complexity]]*$A$11+SUM(Table1[[#This Row],[Other 
Integration]:[OEM 
Integration]])*$C$11</f>
        <v/>
      </c>
      <c r="L197" s="7" t="n"/>
      <c r="M197" s="7" t="n"/>
    </row>
    <row r="198">
      <c r="A198" s="14" t="n">
        <v>182</v>
      </c>
      <c r="B198" s="14" t="n"/>
      <c r="C198" s="14" t="n"/>
      <c r="D198" s="14" t="n"/>
      <c r="E198" s="14" t="n"/>
      <c r="F198" s="14" t="n"/>
      <c r="G198" s="14" t="n"/>
      <c r="H198" s="14" t="n"/>
      <c r="I198" s="14" t="n"/>
      <c r="J198" s="16" t="n"/>
      <c r="K198" s="14">
        <f>Table1[[#This Row],[Complexity]]*$A$11+SUM(Table1[[#This Row],[Other 
Integration]:[OEM 
Integration]])*$C$11</f>
        <v/>
      </c>
      <c r="L198" s="7" t="n"/>
      <c r="M198" s="7" t="n"/>
    </row>
    <row r="199">
      <c r="A199" s="14" t="n">
        <v>183</v>
      </c>
      <c r="B199" s="14" t="n"/>
      <c r="C199" s="14" t="n"/>
      <c r="D199" s="14" t="n"/>
      <c r="E199" s="14" t="n"/>
      <c r="F199" s="14" t="n"/>
      <c r="G199" s="14" t="n"/>
      <c r="H199" s="14" t="n"/>
      <c r="I199" s="14" t="n"/>
      <c r="J199" s="16" t="n"/>
      <c r="K199" s="14">
        <f>Table1[[#This Row],[Complexity]]*$A$11+SUM(Table1[[#This Row],[Other 
Integration]:[OEM 
Integration]])*$C$11</f>
        <v/>
      </c>
      <c r="L199" s="7" t="n"/>
      <c r="M199" s="7" t="n"/>
    </row>
    <row r="200">
      <c r="A200" s="14" t="n">
        <v>184</v>
      </c>
      <c r="B200" s="14" t="n"/>
      <c r="C200" s="14" t="n"/>
      <c r="D200" s="14" t="n"/>
      <c r="E200" s="14" t="n"/>
      <c r="F200" s="14" t="n"/>
      <c r="G200" s="14" t="n"/>
      <c r="H200" s="14" t="n"/>
      <c r="I200" s="14" t="n"/>
      <c r="J200" s="16" t="n"/>
      <c r="K200" s="14">
        <f>Table1[[#This Row],[Complexity]]*$A$11+SUM(Table1[[#This Row],[Other 
Integration]:[OEM 
Integration]])*$C$11</f>
        <v/>
      </c>
      <c r="L200" s="7" t="n"/>
      <c r="M200" s="7" t="n"/>
    </row>
    <row r="201">
      <c r="A201" s="14" t="n">
        <v>185</v>
      </c>
      <c r="B201" s="14" t="n"/>
      <c r="C201" s="14" t="n"/>
      <c r="D201" s="14" t="n"/>
      <c r="E201" s="14" t="n"/>
      <c r="F201" s="14" t="n"/>
      <c r="G201" s="14" t="n"/>
      <c r="H201" s="14" t="n"/>
      <c r="I201" s="14" t="n"/>
      <c r="J201" s="16" t="n"/>
      <c r="K201" s="14">
        <f>Table1[[#This Row],[Complexity]]*$A$11+SUM(Table1[[#This Row],[Other 
Integration]:[OEM 
Integration]])*$C$11</f>
        <v/>
      </c>
      <c r="L201" s="7" t="n"/>
      <c r="M201" s="7" t="n"/>
    </row>
    <row r="202">
      <c r="A202" s="14" t="n">
        <v>186</v>
      </c>
      <c r="B202" s="14" t="n"/>
      <c r="C202" s="14" t="n"/>
      <c r="D202" s="14" t="n"/>
      <c r="E202" s="14" t="n"/>
      <c r="F202" s="14" t="n"/>
      <c r="G202" s="14" t="n"/>
      <c r="H202" s="14" t="n"/>
      <c r="I202" s="14" t="n"/>
      <c r="J202" s="16" t="n"/>
      <c r="K202" s="14">
        <f>Table1[[#This Row],[Complexity]]*$A$11+SUM(Table1[[#This Row],[Other 
Integration]:[OEM 
Integration]])*$C$11</f>
        <v/>
      </c>
      <c r="L202" s="7" t="n"/>
      <c r="M202" s="7" t="n"/>
    </row>
    <row r="203">
      <c r="A203" s="14" t="n">
        <v>187</v>
      </c>
      <c r="B203" s="14" t="n"/>
      <c r="C203" s="14" t="n"/>
      <c r="D203" s="14" t="n"/>
      <c r="E203" s="14" t="n"/>
      <c r="F203" s="14" t="n"/>
      <c r="G203" s="14" t="n"/>
      <c r="H203" s="14" t="n"/>
      <c r="I203" s="14" t="n"/>
      <c r="J203" s="16" t="n"/>
      <c r="K203" s="14">
        <f>Table1[[#This Row],[Complexity]]*$A$11+SUM(Table1[[#This Row],[Other 
Integration]:[OEM 
Integration]])*$C$11</f>
        <v/>
      </c>
      <c r="L203" s="7" t="n"/>
      <c r="M203" s="7" t="n"/>
    </row>
    <row r="204">
      <c r="A204" s="14" t="n">
        <v>188</v>
      </c>
      <c r="B204" s="14" t="n"/>
      <c r="C204" s="14" t="n"/>
      <c r="D204" s="14" t="n"/>
      <c r="E204" s="14" t="n"/>
      <c r="F204" s="14" t="n"/>
      <c r="G204" s="14" t="n"/>
      <c r="H204" s="14" t="n"/>
      <c r="I204" s="14" t="n"/>
      <c r="J204" s="16" t="n"/>
      <c r="K204" s="14">
        <f>Table1[[#This Row],[Complexity]]*$A$11+SUM(Table1[[#This Row],[Other 
Integration]:[OEM 
Integration]])*$C$11</f>
        <v/>
      </c>
      <c r="L204" s="7" t="n"/>
      <c r="M204" s="7" t="n"/>
    </row>
    <row r="205">
      <c r="A205" s="14" t="n">
        <v>189</v>
      </c>
      <c r="B205" s="14" t="n"/>
      <c r="C205" s="14" t="n"/>
      <c r="D205" s="14" t="n"/>
      <c r="E205" s="14" t="n"/>
      <c r="F205" s="14" t="n"/>
      <c r="G205" s="14" t="n"/>
      <c r="H205" s="14" t="n"/>
      <c r="I205" s="14" t="n"/>
      <c r="J205" s="16" t="n"/>
      <c r="K205" s="14">
        <f>Table1[[#This Row],[Complexity]]*$A$11+SUM(Table1[[#This Row],[Other 
Integration]:[OEM 
Integration]])*$C$11</f>
        <v/>
      </c>
      <c r="L205" s="7" t="n"/>
      <c r="M205" s="7" t="n"/>
    </row>
    <row r="206">
      <c r="A206" s="14" t="n">
        <v>190</v>
      </c>
      <c r="B206" s="14" t="n"/>
      <c r="C206" s="14" t="n"/>
      <c r="D206" s="14" t="n"/>
      <c r="E206" s="14" t="n"/>
      <c r="F206" s="14" t="n"/>
      <c r="G206" s="14" t="n"/>
      <c r="H206" s="14" t="n"/>
      <c r="I206" s="14" t="n"/>
      <c r="J206" s="16" t="n"/>
      <c r="K206" s="14">
        <f>Table1[[#This Row],[Complexity]]*$A$11+SUM(Table1[[#This Row],[Other 
Integration]:[OEM 
Integration]])*$C$11</f>
        <v/>
      </c>
      <c r="L206" s="7" t="n"/>
      <c r="M206" s="7" t="n"/>
    </row>
    <row r="207">
      <c r="A207" s="14" t="n">
        <v>191</v>
      </c>
      <c r="B207" s="14" t="n"/>
      <c r="C207" s="14" t="n"/>
      <c r="D207" s="14" t="n"/>
      <c r="E207" s="14" t="n"/>
      <c r="F207" s="14" t="n"/>
      <c r="G207" s="14" t="n"/>
      <c r="H207" s="14" t="n"/>
      <c r="I207" s="14" t="n"/>
      <c r="J207" s="16" t="n"/>
      <c r="K207" s="14">
        <f>Table1[[#This Row],[Complexity]]*$A$11+SUM(Table1[[#This Row],[Other 
Integration]:[OEM 
Integration]])*$C$11</f>
        <v/>
      </c>
      <c r="L207" s="7" t="n"/>
      <c r="M207" s="7" t="n"/>
    </row>
    <row r="208">
      <c r="A208" s="14" t="n">
        <v>192</v>
      </c>
      <c r="B208" s="14" t="n"/>
      <c r="C208" s="14" t="n"/>
      <c r="D208" s="14" t="n"/>
      <c r="E208" s="14" t="n"/>
      <c r="F208" s="14" t="n"/>
      <c r="G208" s="14" t="n"/>
      <c r="H208" s="14" t="n"/>
      <c r="I208" s="14" t="n"/>
      <c r="J208" s="16" t="n"/>
      <c r="K208" s="14">
        <f>Table1[[#This Row],[Complexity]]*$A$11+SUM(Table1[[#This Row],[Other 
Integration]:[OEM 
Integration]])*$C$11</f>
        <v/>
      </c>
      <c r="L208" s="7" t="n"/>
      <c r="M208" s="7" t="n"/>
    </row>
    <row r="209">
      <c r="A209" s="14" t="n">
        <v>193</v>
      </c>
      <c r="B209" s="14" t="n"/>
      <c r="C209" s="14" t="n"/>
      <c r="D209" s="14" t="n"/>
      <c r="E209" s="14" t="n"/>
      <c r="F209" s="14" t="n"/>
      <c r="G209" s="14" t="n"/>
      <c r="H209" s="14" t="n"/>
      <c r="I209" s="14" t="n"/>
      <c r="J209" s="16" t="n"/>
      <c r="K209" s="14">
        <f>Table1[[#This Row],[Complexity]]*$A$11+SUM(Table1[[#This Row],[Other 
Integration]:[OEM 
Integration]])*$C$11</f>
        <v/>
      </c>
      <c r="L209" s="7" t="n"/>
      <c r="M209" s="7" t="n"/>
    </row>
    <row r="210">
      <c r="A210" s="14" t="n">
        <v>194</v>
      </c>
      <c r="B210" s="14" t="n"/>
      <c r="C210" s="14" t="n"/>
      <c r="D210" s="14" t="n"/>
      <c r="E210" s="14" t="n"/>
      <c r="F210" s="14" t="n"/>
      <c r="G210" s="14" t="n"/>
      <c r="H210" s="14" t="n"/>
      <c r="I210" s="14" t="n"/>
      <c r="J210" s="16" t="n"/>
      <c r="K210" s="14">
        <f>Table1[[#This Row],[Complexity]]*$A$11+SUM(Table1[[#This Row],[Other 
Integration]:[OEM 
Integration]])*$C$11</f>
        <v/>
      </c>
      <c r="L210" s="7" t="n"/>
      <c r="M210" s="7" t="n"/>
    </row>
    <row r="211">
      <c r="A211" s="14" t="n">
        <v>195</v>
      </c>
      <c r="B211" s="14" t="n"/>
      <c r="C211" s="14" t="n"/>
      <c r="D211" s="14" t="n"/>
      <c r="E211" s="14" t="n"/>
      <c r="F211" s="14" t="n"/>
      <c r="G211" s="14" t="n"/>
      <c r="H211" s="14" t="n"/>
      <c r="I211" s="14" t="n"/>
      <c r="J211" s="16" t="n"/>
      <c r="K211" s="14">
        <f>Table1[[#This Row],[Complexity]]*$A$11+SUM(Table1[[#This Row],[Other 
Integration]:[OEM 
Integration]])*$C$11</f>
        <v/>
      </c>
      <c r="L211" s="7" t="n"/>
      <c r="M211" s="7" t="n"/>
    </row>
    <row r="212">
      <c r="A212" s="14" t="n">
        <v>196</v>
      </c>
      <c r="B212" s="14" t="n"/>
      <c r="C212" s="14" t="n"/>
      <c r="D212" s="14" t="n"/>
      <c r="E212" s="14" t="n"/>
      <c r="F212" s="14" t="n"/>
      <c r="G212" s="14" t="n"/>
      <c r="H212" s="14" t="n"/>
      <c r="I212" s="14" t="n"/>
      <c r="J212" s="16" t="n"/>
      <c r="K212" s="14">
        <f>Table1[[#This Row],[Complexity]]*$A$11+SUM(Table1[[#This Row],[Other 
Integration]:[OEM 
Integration]])*$C$11</f>
        <v/>
      </c>
      <c r="L212" s="7" t="n"/>
      <c r="M212" s="7" t="n"/>
    </row>
    <row r="213">
      <c r="A213" s="14" t="n">
        <v>197</v>
      </c>
      <c r="B213" s="14" t="n"/>
      <c r="C213" s="14" t="n"/>
      <c r="D213" s="14" t="n"/>
      <c r="E213" s="14" t="n"/>
      <c r="F213" s="14" t="n"/>
      <c r="G213" s="14" t="n"/>
      <c r="H213" s="14" t="n"/>
      <c r="I213" s="14" t="n"/>
      <c r="J213" s="16" t="n"/>
      <c r="K213" s="14">
        <f>Table1[[#This Row],[Complexity]]*$A$11+SUM(Table1[[#This Row],[Other 
Integration]:[OEM 
Integration]])*$C$11</f>
        <v/>
      </c>
      <c r="L213" s="7" t="n"/>
      <c r="M213" s="7" t="n"/>
    </row>
    <row r="214">
      <c r="A214" s="14" t="n">
        <v>198</v>
      </c>
      <c r="B214" s="14" t="n"/>
      <c r="C214" s="14" t="n"/>
      <c r="D214" s="14" t="n"/>
      <c r="E214" s="14" t="n"/>
      <c r="F214" s="14" t="n"/>
      <c r="G214" s="14" t="n"/>
      <c r="H214" s="14" t="n"/>
      <c r="I214" s="14" t="n"/>
      <c r="J214" s="16" t="n"/>
      <c r="K214" s="14">
        <f>Table1[[#This Row],[Complexity]]*$A$11+SUM(Table1[[#This Row],[Other 
Integration]:[OEM 
Integration]])*$C$11</f>
        <v/>
      </c>
      <c r="L214" s="7" t="n"/>
      <c r="M214" s="7" t="n"/>
    </row>
    <row r="215">
      <c r="A215" s="14" t="n">
        <v>199</v>
      </c>
      <c r="B215" s="14" t="n"/>
      <c r="C215" s="14" t="n"/>
      <c r="D215" s="14" t="n"/>
      <c r="E215" s="14" t="n"/>
      <c r="F215" s="14" t="n"/>
      <c r="G215" s="14" t="n"/>
      <c r="H215" s="14" t="n"/>
      <c r="I215" s="14" t="n"/>
      <c r="J215" s="16" t="n"/>
      <c r="K215" s="14">
        <f>Table1[[#This Row],[Complexity]]*$A$11+SUM(Table1[[#This Row],[Other 
Integration]:[OEM 
Integration]])*$C$11</f>
        <v/>
      </c>
      <c r="L215" s="7" t="n"/>
      <c r="M215" s="7" t="n"/>
    </row>
    <row r="216">
      <c r="A216" s="14" t="n">
        <v>200</v>
      </c>
      <c r="B216" s="14" t="n"/>
      <c r="C216" s="14" t="n"/>
      <c r="D216" s="14" t="n"/>
      <c r="E216" s="14" t="n"/>
      <c r="F216" s="14" t="n"/>
      <c r="G216" s="14" t="n"/>
      <c r="H216" s="14" t="n"/>
      <c r="I216" s="14" t="n"/>
      <c r="J216" s="16" t="n"/>
      <c r="K216" s="14">
        <f>Table1[[#This Row],[Complexity]]*$A$11+SUM(Table1[[#This Row],[Other 
Integration]:[OEM 
Integration]])*$C$11</f>
        <v/>
      </c>
      <c r="L216" s="7" t="n"/>
      <c r="M216" s="7" t="n"/>
    </row>
    <row r="217">
      <c r="A217" s="14" t="n">
        <v>201</v>
      </c>
      <c r="B217" s="14" t="n"/>
      <c r="C217" s="14" t="n"/>
      <c r="D217" s="14" t="n"/>
      <c r="E217" s="14" t="n"/>
      <c r="F217" s="14" t="n"/>
      <c r="G217" s="14" t="n"/>
      <c r="H217" s="14" t="n"/>
      <c r="I217" s="14" t="n"/>
      <c r="J217" s="16" t="n"/>
      <c r="K217" s="14">
        <f>Table1[[#This Row],[Complexity]]*$A$11+SUM(Table1[[#This Row],[Other 
Integration]:[OEM 
Integration]])*$C$11</f>
        <v/>
      </c>
      <c r="L217" s="7" t="n"/>
      <c r="M217" s="7" t="n"/>
    </row>
    <row r="218">
      <c r="A218" s="14" t="n">
        <v>202</v>
      </c>
      <c r="B218" s="14" t="n"/>
      <c r="C218" s="14" t="n"/>
      <c r="D218" s="14" t="n"/>
      <c r="E218" s="14" t="n"/>
      <c r="F218" s="14" t="n"/>
      <c r="G218" s="14" t="n"/>
      <c r="H218" s="14" t="n"/>
      <c r="I218" s="14" t="n"/>
      <c r="J218" s="16" t="n"/>
      <c r="K218" s="14">
        <f>Table1[[#This Row],[Complexity]]*$A$11+SUM(Table1[[#This Row],[Other 
Integration]:[OEM 
Integration]])*$C$11</f>
        <v/>
      </c>
      <c r="L218" s="7" t="n"/>
      <c r="M218" s="7" t="n"/>
    </row>
    <row r="219">
      <c r="A219" s="14" t="n">
        <v>203</v>
      </c>
      <c r="B219" s="14" t="n"/>
      <c r="C219" s="14" t="n"/>
      <c r="D219" s="14" t="n"/>
      <c r="E219" s="14" t="n"/>
      <c r="F219" s="14" t="n"/>
      <c r="G219" s="14" t="n"/>
      <c r="H219" s="14" t="n"/>
      <c r="I219" s="14" t="n"/>
      <c r="J219" s="16" t="n"/>
      <c r="K219" s="14">
        <f>Table1[[#This Row],[Complexity]]*$A$11+SUM(Table1[[#This Row],[Other 
Integration]:[OEM 
Integration]])*$C$11</f>
        <v/>
      </c>
      <c r="L219" s="7" t="n"/>
      <c r="M219" s="7" t="n"/>
    </row>
    <row r="220">
      <c r="A220" s="14" t="n">
        <v>204</v>
      </c>
      <c r="B220" s="14" t="n"/>
      <c r="C220" s="14" t="n"/>
      <c r="D220" s="14" t="n"/>
      <c r="E220" s="14" t="n"/>
      <c r="F220" s="14" t="n"/>
      <c r="G220" s="14" t="n"/>
      <c r="H220" s="14" t="n"/>
      <c r="I220" s="14" t="n"/>
      <c r="J220" s="16" t="n"/>
      <c r="K220" s="14">
        <f>Table1[[#This Row],[Complexity]]*$A$11+SUM(Table1[[#This Row],[Other 
Integration]:[OEM 
Integration]])*$C$11</f>
        <v/>
      </c>
      <c r="L220" s="7" t="n"/>
      <c r="M220" s="7" t="n"/>
    </row>
    <row r="221">
      <c r="A221" s="14" t="n">
        <v>205</v>
      </c>
      <c r="B221" s="14" t="n"/>
      <c r="C221" s="14" t="n"/>
      <c r="D221" s="14" t="n"/>
      <c r="E221" s="14" t="n"/>
      <c r="F221" s="14" t="n"/>
      <c r="G221" s="14" t="n"/>
      <c r="H221" s="14" t="n"/>
      <c r="I221" s="14" t="n"/>
      <c r="J221" s="16" t="n"/>
      <c r="K221" s="14">
        <f>Table1[[#This Row],[Complexity]]*$A$11+SUM(Table1[[#This Row],[Other 
Integration]:[OEM 
Integration]])*$C$11</f>
        <v/>
      </c>
      <c r="L221" s="7" t="n"/>
      <c r="M221" s="7" t="n"/>
    </row>
    <row r="222">
      <c r="A222" s="14" t="n">
        <v>206</v>
      </c>
      <c r="B222" s="14" t="n"/>
      <c r="C222" s="14" t="n"/>
      <c r="D222" s="14" t="n"/>
      <c r="E222" s="14" t="n"/>
      <c r="F222" s="14" t="n"/>
      <c r="G222" s="14" t="n"/>
      <c r="H222" s="14" t="n"/>
      <c r="I222" s="14" t="n"/>
      <c r="J222" s="16" t="n"/>
      <c r="K222" s="14">
        <f>Table1[[#This Row],[Complexity]]*$A$11+SUM(Table1[[#This Row],[Other 
Integration]:[OEM 
Integration]])*$C$11</f>
        <v/>
      </c>
      <c r="L222" s="7" t="n"/>
      <c r="M222" s="7" t="n"/>
    </row>
    <row r="223">
      <c r="A223" s="14" t="n">
        <v>207</v>
      </c>
      <c r="B223" s="14" t="n"/>
      <c r="C223" s="14" t="n"/>
      <c r="D223" s="14" t="n"/>
      <c r="E223" s="14" t="n"/>
      <c r="F223" s="14" t="n"/>
      <c r="G223" s="14" t="n"/>
      <c r="H223" s="14" t="n"/>
      <c r="I223" s="14" t="n"/>
      <c r="J223" s="16" t="n"/>
      <c r="K223" s="14">
        <f>Table1[[#This Row],[Complexity]]*$A$11+SUM(Table1[[#This Row],[Other 
Integration]:[OEM 
Integration]])*$C$11</f>
        <v/>
      </c>
      <c r="L223" s="7" t="n"/>
      <c r="M223" s="7" t="n"/>
    </row>
    <row r="224">
      <c r="A224" s="14" t="n">
        <v>208</v>
      </c>
      <c r="B224" s="14" t="n"/>
      <c r="C224" s="14" t="n"/>
      <c r="D224" s="14" t="n"/>
      <c r="E224" s="14" t="n"/>
      <c r="F224" s="14" t="n"/>
      <c r="G224" s="14" t="n"/>
      <c r="H224" s="14" t="n"/>
      <c r="I224" s="14" t="n"/>
      <c r="J224" s="16" t="n"/>
      <c r="K224" s="14">
        <f>Table1[[#This Row],[Complexity]]*$A$11+SUM(Table1[[#This Row],[Other 
Integration]:[OEM 
Integration]])*$C$11</f>
        <v/>
      </c>
      <c r="L224" s="7" t="n"/>
      <c r="M224" s="7" t="n"/>
    </row>
    <row r="225">
      <c r="A225" s="14" t="n">
        <v>209</v>
      </c>
      <c r="B225" s="14" t="n"/>
      <c r="C225" s="14" t="n"/>
      <c r="D225" s="14" t="n"/>
      <c r="E225" s="14" t="n"/>
      <c r="F225" s="14" t="n"/>
      <c r="G225" s="14" t="n"/>
      <c r="H225" s="14" t="n"/>
      <c r="I225" s="14" t="n"/>
      <c r="J225" s="16" t="n"/>
      <c r="K225" s="14">
        <f>Table1[[#This Row],[Complexity]]*$A$11+SUM(Table1[[#This Row],[Other 
Integration]:[OEM 
Integration]])*$C$11</f>
        <v/>
      </c>
      <c r="L225" s="7" t="n"/>
      <c r="M225" s="7" t="n"/>
    </row>
    <row r="226">
      <c r="A226" s="14" t="n">
        <v>210</v>
      </c>
      <c r="B226" s="14" t="n"/>
      <c r="C226" s="14" t="n"/>
      <c r="D226" s="14" t="n"/>
      <c r="E226" s="14" t="n"/>
      <c r="F226" s="14" t="n"/>
      <c r="G226" s="14" t="n"/>
      <c r="H226" s="14" t="n"/>
      <c r="I226" s="14" t="n"/>
      <c r="J226" s="16" t="n"/>
      <c r="K226" s="14">
        <f>Table1[[#This Row],[Complexity]]*$A$11+SUM(Table1[[#This Row],[Other 
Integration]:[OEM 
Integration]])*$C$11</f>
        <v/>
      </c>
      <c r="L226" s="7" t="n"/>
      <c r="M226" s="7" t="n"/>
    </row>
    <row r="227">
      <c r="A227" s="14" t="n">
        <v>211</v>
      </c>
      <c r="B227" s="14" t="n"/>
      <c r="C227" s="14" t="n"/>
      <c r="D227" s="14" t="n"/>
      <c r="E227" s="14" t="n"/>
      <c r="F227" s="14" t="n"/>
      <c r="G227" s="14" t="n"/>
      <c r="H227" s="14" t="n"/>
      <c r="I227" s="14" t="n"/>
      <c r="J227" s="16" t="n"/>
      <c r="K227" s="14">
        <f>Table1[[#This Row],[Complexity]]*$A$11+SUM(Table1[[#This Row],[Other 
Integration]:[OEM 
Integration]])*$C$11</f>
        <v/>
      </c>
      <c r="L227" s="7" t="n"/>
      <c r="M227" s="7" t="n"/>
    </row>
    <row r="228">
      <c r="A228" s="14" t="n">
        <v>212</v>
      </c>
      <c r="B228" s="14" t="n"/>
      <c r="C228" s="14" t="n"/>
      <c r="D228" s="14" t="n"/>
      <c r="E228" s="14" t="n"/>
      <c r="F228" s="14" t="n"/>
      <c r="G228" s="14" t="n"/>
      <c r="H228" s="14" t="n"/>
      <c r="I228" s="14" t="n"/>
      <c r="J228" s="16" t="n"/>
      <c r="K228" s="14">
        <f>Table1[[#This Row],[Complexity]]*$A$11+SUM(Table1[[#This Row],[Other 
Integration]:[OEM 
Integration]])*$C$11</f>
        <v/>
      </c>
      <c r="L228" s="7" t="n"/>
      <c r="M228" s="7" t="n"/>
    </row>
    <row r="229">
      <c r="A229" s="14" t="n">
        <v>213</v>
      </c>
      <c r="B229" s="14" t="n"/>
      <c r="C229" s="14" t="n"/>
      <c r="D229" s="14" t="n"/>
      <c r="E229" s="14" t="n"/>
      <c r="F229" s="14" t="n"/>
      <c r="G229" s="14" t="n"/>
      <c r="H229" s="14" t="n"/>
      <c r="I229" s="14" t="n"/>
      <c r="J229" s="16" t="n"/>
      <c r="K229" s="14">
        <f>Table1[[#This Row],[Complexity]]*$A$11+SUM(Table1[[#This Row],[Other 
Integration]:[OEM 
Integration]])*$C$11</f>
        <v/>
      </c>
      <c r="L229" s="7" t="n"/>
      <c r="M229" s="7" t="n"/>
    </row>
    <row r="230">
      <c r="A230" s="14" t="n">
        <v>214</v>
      </c>
      <c r="B230" s="14" t="n"/>
      <c r="C230" s="14" t="n"/>
      <c r="D230" s="14" t="n"/>
      <c r="E230" s="14" t="n"/>
      <c r="F230" s="14" t="n"/>
      <c r="G230" s="14" t="n"/>
      <c r="H230" s="14" t="n"/>
      <c r="I230" s="14" t="n"/>
      <c r="J230" s="16" t="n"/>
      <c r="K230" s="14">
        <f>Table1[[#This Row],[Complexity]]*$A$11+SUM(Table1[[#This Row],[Other 
Integration]:[OEM 
Integration]])*$C$11</f>
        <v/>
      </c>
      <c r="L230" s="7" t="n"/>
      <c r="M230" s="7" t="n"/>
    </row>
    <row r="231">
      <c r="A231" s="14" t="n">
        <v>215</v>
      </c>
      <c r="B231" s="14" t="n"/>
      <c r="C231" s="14" t="n"/>
      <c r="D231" s="14" t="n"/>
      <c r="E231" s="14" t="n"/>
      <c r="F231" s="14" t="n"/>
      <c r="G231" s="14" t="n"/>
      <c r="H231" s="14" t="n"/>
      <c r="I231" s="14" t="n"/>
      <c r="J231" s="16" t="n"/>
      <c r="K231" s="14">
        <f>Table1[[#This Row],[Complexity]]*$A$11+SUM(Table1[[#This Row],[Other 
Integration]:[OEM 
Integration]])*$C$11</f>
        <v/>
      </c>
      <c r="L231" s="7" t="n"/>
      <c r="M231" s="7" t="n"/>
    </row>
    <row r="232">
      <c r="A232" s="14" t="n">
        <v>216</v>
      </c>
      <c r="B232" s="14" t="n"/>
      <c r="C232" s="14" t="n"/>
      <c r="D232" s="14" t="n"/>
      <c r="E232" s="14" t="n"/>
      <c r="F232" s="14" t="n"/>
      <c r="G232" s="14" t="n"/>
      <c r="H232" s="14" t="n"/>
      <c r="I232" s="14" t="n"/>
      <c r="J232" s="16" t="n"/>
      <c r="K232" s="14">
        <f>Table1[[#This Row],[Complexity]]*$A$11+SUM(Table1[[#This Row],[Other 
Integration]:[OEM 
Integration]])*$C$11</f>
        <v/>
      </c>
      <c r="L232" s="7" t="n"/>
      <c r="M232" s="7" t="n"/>
    </row>
    <row r="233">
      <c r="A233" s="14" t="n">
        <v>217</v>
      </c>
      <c r="B233" s="14" t="n"/>
      <c r="C233" s="14" t="n"/>
      <c r="D233" s="14" t="n"/>
      <c r="E233" s="14" t="n"/>
      <c r="F233" s="14" t="n"/>
      <c r="G233" s="14" t="n"/>
      <c r="H233" s="14" t="n"/>
      <c r="I233" s="14" t="n"/>
      <c r="J233" s="16" t="n"/>
      <c r="K233" s="14">
        <f>Table1[[#This Row],[Complexity]]*$A$11+SUM(Table1[[#This Row],[Other 
Integration]:[OEM 
Integration]])*$C$11</f>
        <v/>
      </c>
      <c r="L233" s="7" t="n"/>
      <c r="M233" s="7" t="n"/>
    </row>
    <row r="234">
      <c r="A234" s="14" t="n">
        <v>218</v>
      </c>
      <c r="B234" s="14" t="n"/>
      <c r="C234" s="14" t="n"/>
      <c r="D234" s="14" t="n"/>
      <c r="E234" s="14" t="n"/>
      <c r="F234" s="14" t="n"/>
      <c r="G234" s="14" t="n"/>
      <c r="H234" s="14" t="n"/>
      <c r="I234" s="14" t="n"/>
      <c r="J234" s="16" t="n"/>
      <c r="K234" s="14">
        <f>Table1[[#This Row],[Complexity]]*$A$11+SUM(Table1[[#This Row],[Other 
Integration]:[OEM 
Integration]])*$C$11</f>
        <v/>
      </c>
      <c r="L234" s="7" t="n"/>
      <c r="M234" s="7" t="n"/>
    </row>
    <row r="235">
      <c r="A235" s="14" t="n">
        <v>219</v>
      </c>
      <c r="B235" s="14" t="n"/>
      <c r="C235" s="14" t="n"/>
      <c r="D235" s="14" t="n"/>
      <c r="E235" s="14" t="n"/>
      <c r="F235" s="14" t="n"/>
      <c r="G235" s="14" t="n"/>
      <c r="H235" s="14" t="n"/>
      <c r="I235" s="14" t="n"/>
      <c r="J235" s="16" t="n"/>
      <c r="K235" s="14">
        <f>Table1[[#This Row],[Complexity]]*$A$11+SUM(Table1[[#This Row],[Other 
Integration]:[OEM 
Integration]])*$C$11</f>
        <v/>
      </c>
      <c r="L235" s="7" t="n"/>
      <c r="M235" s="7" t="n"/>
    </row>
    <row r="236">
      <c r="A236" s="14" t="n">
        <v>220</v>
      </c>
      <c r="B236" s="14" t="n"/>
      <c r="C236" s="14" t="n"/>
      <c r="D236" s="14" t="n"/>
      <c r="E236" s="14" t="n"/>
      <c r="F236" s="14" t="n"/>
      <c r="G236" s="14" t="n"/>
      <c r="H236" s="14" t="n"/>
      <c r="I236" s="14" t="n"/>
      <c r="J236" s="16" t="n"/>
      <c r="K236" s="14">
        <f>Table1[[#This Row],[Complexity]]*$A$11+SUM(Table1[[#This Row],[Other 
Integration]:[OEM 
Integration]])*$C$11</f>
        <v/>
      </c>
      <c r="L236" s="7" t="n"/>
      <c r="M236" s="7" t="n"/>
    </row>
    <row r="237">
      <c r="A237" s="14" t="n">
        <v>221</v>
      </c>
      <c r="B237" s="14" t="n"/>
      <c r="C237" s="14" t="n"/>
      <c r="D237" s="14" t="n"/>
      <c r="E237" s="14" t="n"/>
      <c r="F237" s="14" t="n"/>
      <c r="G237" s="14" t="n"/>
      <c r="H237" s="14" t="n"/>
      <c r="I237" s="14" t="n"/>
      <c r="J237" s="16" t="n"/>
      <c r="K237" s="14">
        <f>Table1[[#This Row],[Complexity]]*$A$11+SUM(Table1[[#This Row],[Other 
Integration]:[OEM 
Integration]])*$C$11</f>
        <v/>
      </c>
      <c r="L237" s="7" t="n"/>
      <c r="M237" s="7" t="n"/>
    </row>
    <row r="238">
      <c r="A238" s="14" t="n">
        <v>222</v>
      </c>
      <c r="B238" s="14" t="n"/>
      <c r="C238" s="14" t="n"/>
      <c r="D238" s="14" t="n"/>
      <c r="E238" s="14" t="n"/>
      <c r="F238" s="14" t="n"/>
      <c r="G238" s="14" t="n"/>
      <c r="H238" s="14" t="n"/>
      <c r="I238" s="14" t="n"/>
      <c r="J238" s="16" t="n"/>
      <c r="K238" s="14">
        <f>Table1[[#This Row],[Complexity]]*$A$11+SUM(Table1[[#This Row],[Other 
Integration]:[OEM 
Integration]])*$C$11</f>
        <v/>
      </c>
      <c r="L238" s="7" t="n"/>
      <c r="M238" s="7" t="n"/>
    </row>
    <row r="239">
      <c r="A239" s="14" t="n">
        <v>223</v>
      </c>
      <c r="B239" s="14" t="n"/>
      <c r="C239" s="14" t="n"/>
      <c r="D239" s="14" t="n"/>
      <c r="E239" s="14" t="n"/>
      <c r="F239" s="14" t="n"/>
      <c r="G239" s="14" t="n"/>
      <c r="H239" s="14" t="n"/>
      <c r="I239" s="14" t="n"/>
      <c r="J239" s="16" t="n"/>
      <c r="K239" s="14">
        <f>Table1[[#This Row],[Complexity]]*$A$11+SUM(Table1[[#This Row],[Other 
Integration]:[OEM 
Integration]])*$C$11</f>
        <v/>
      </c>
      <c r="L239" s="7" t="n"/>
      <c r="M239" s="7" t="n"/>
    </row>
    <row r="240">
      <c r="A240" s="14" t="n">
        <v>224</v>
      </c>
      <c r="B240" s="14" t="n"/>
      <c r="C240" s="14" t="n"/>
      <c r="D240" s="14" t="n"/>
      <c r="E240" s="14" t="n"/>
      <c r="F240" s="14" t="n"/>
      <c r="G240" s="14" t="n"/>
      <c r="H240" s="14" t="n"/>
      <c r="I240" s="14" t="n"/>
      <c r="J240" s="16" t="n"/>
      <c r="K240" s="14">
        <f>Table1[[#This Row],[Complexity]]*$A$11+SUM(Table1[[#This Row],[Other 
Integration]:[OEM 
Integration]])*$C$11</f>
        <v/>
      </c>
      <c r="L240" s="7" t="n"/>
      <c r="M240" s="7" t="n"/>
    </row>
    <row r="241">
      <c r="A241" s="14" t="n">
        <v>225</v>
      </c>
      <c r="B241" s="14" t="n"/>
      <c r="C241" s="14" t="n"/>
      <c r="D241" s="14" t="n"/>
      <c r="E241" s="14" t="n"/>
      <c r="F241" s="14" t="n"/>
      <c r="G241" s="14" t="n"/>
      <c r="H241" s="14" t="n"/>
      <c r="I241" s="14" t="n"/>
      <c r="J241" s="16" t="n"/>
      <c r="K241" s="14">
        <f>Table1[[#This Row],[Complexity]]*$A$11+SUM(Table1[[#This Row],[Other 
Integration]:[OEM 
Integration]])*$C$11</f>
        <v/>
      </c>
      <c r="L241" s="7" t="n"/>
      <c r="M241" s="7" t="n"/>
    </row>
    <row r="242">
      <c r="A242" s="14" t="n">
        <v>226</v>
      </c>
      <c r="B242" s="14" t="n"/>
      <c r="C242" s="14" t="n"/>
      <c r="D242" s="14" t="n"/>
      <c r="E242" s="14" t="n"/>
      <c r="F242" s="14" t="n"/>
      <c r="G242" s="14" t="n"/>
      <c r="H242" s="14" t="n"/>
      <c r="I242" s="14" t="n"/>
      <c r="J242" s="16" t="n"/>
      <c r="K242" s="14">
        <f>Table1[[#This Row],[Complexity]]*$A$11+SUM(Table1[[#This Row],[Other 
Integration]:[OEM 
Integration]])*$C$11</f>
        <v/>
      </c>
      <c r="L242" s="7" t="n"/>
      <c r="M242" s="7" t="n"/>
    </row>
    <row r="243">
      <c r="A243" s="14" t="n">
        <v>227</v>
      </c>
      <c r="B243" s="14" t="n"/>
      <c r="C243" s="14" t="n"/>
      <c r="D243" s="14" t="n"/>
      <c r="E243" s="14" t="n"/>
      <c r="F243" s="14" t="n"/>
      <c r="G243" s="14" t="n"/>
      <c r="H243" s="14" t="n"/>
      <c r="I243" s="14" t="n"/>
      <c r="J243" s="16" t="n"/>
      <c r="K243" s="14">
        <f>Table1[[#This Row],[Complexity]]*$A$11+SUM(Table1[[#This Row],[Other 
Integration]:[OEM 
Integration]])*$C$11</f>
        <v/>
      </c>
      <c r="L243" s="7" t="n"/>
      <c r="M243" s="7" t="n"/>
    </row>
    <row r="244">
      <c r="A244" s="14" t="n">
        <v>228</v>
      </c>
      <c r="B244" s="14" t="n"/>
      <c r="C244" s="14" t="n"/>
      <c r="D244" s="14" t="n"/>
      <c r="E244" s="14" t="n"/>
      <c r="F244" s="14" t="n"/>
      <c r="G244" s="14" t="n"/>
      <c r="H244" s="14" t="n"/>
      <c r="I244" s="14" t="n"/>
      <c r="J244" s="16" t="n"/>
      <c r="K244" s="14">
        <f>Table1[[#This Row],[Complexity]]*$A$11+SUM(Table1[[#This Row],[Other 
Integration]:[OEM 
Integration]])*$C$11</f>
        <v/>
      </c>
      <c r="L244" s="7" t="n"/>
      <c r="M244" s="7" t="n"/>
    </row>
    <row r="245">
      <c r="A245" s="14" t="n">
        <v>229</v>
      </c>
      <c r="B245" s="14" t="n"/>
      <c r="C245" s="14" t="n"/>
      <c r="D245" s="14" t="n"/>
      <c r="E245" s="14" t="n"/>
      <c r="F245" s="14" t="n"/>
      <c r="G245" s="14" t="n"/>
      <c r="H245" s="14" t="n"/>
      <c r="I245" s="14" t="n"/>
      <c r="J245" s="16" t="n"/>
      <c r="K245" s="14">
        <f>Table1[[#This Row],[Complexity]]*$A$11+SUM(Table1[[#This Row],[Other 
Integration]:[OEM 
Integration]])*$C$11</f>
        <v/>
      </c>
      <c r="L245" s="7" t="n"/>
      <c r="M245" s="7" t="n"/>
    </row>
    <row r="246">
      <c r="A246" s="14" t="n">
        <v>230</v>
      </c>
      <c r="B246" s="14" t="n"/>
      <c r="C246" s="14" t="n"/>
      <c r="D246" s="14" t="n"/>
      <c r="E246" s="14" t="n"/>
      <c r="F246" s="14" t="n"/>
      <c r="G246" s="14" t="n"/>
      <c r="H246" s="14" t="n"/>
      <c r="I246" s="14" t="n"/>
      <c r="J246" s="16" t="n"/>
      <c r="K246" s="14">
        <f>Table1[[#This Row],[Complexity]]*$A$11+SUM(Table1[[#This Row],[Other 
Integration]:[OEM 
Integration]])*$C$11</f>
        <v/>
      </c>
      <c r="L246" s="7" t="n"/>
      <c r="M246" s="7" t="n"/>
    </row>
    <row r="247">
      <c r="A247" s="14" t="n">
        <v>231</v>
      </c>
      <c r="B247" s="14" t="n"/>
      <c r="C247" s="14" t="n"/>
      <c r="D247" s="14" t="n"/>
      <c r="E247" s="14" t="n"/>
      <c r="F247" s="14" t="n"/>
      <c r="G247" s="14" t="n"/>
      <c r="H247" s="14" t="n"/>
      <c r="I247" s="14" t="n"/>
      <c r="J247" s="16" t="n"/>
      <c r="K247" s="14">
        <f>Table1[[#This Row],[Complexity]]*$A$11+SUM(Table1[[#This Row],[Other 
Integration]:[OEM 
Integration]])*$C$11</f>
        <v/>
      </c>
      <c r="L247" s="7" t="n"/>
      <c r="M247" s="7" t="n"/>
    </row>
    <row r="248">
      <c r="A248" s="14" t="n">
        <v>232</v>
      </c>
      <c r="B248" s="14" t="n"/>
      <c r="C248" s="14" t="n"/>
      <c r="D248" s="14" t="n"/>
      <c r="E248" s="14" t="n"/>
      <c r="F248" s="14" t="n"/>
      <c r="G248" s="14" t="n"/>
      <c r="H248" s="14" t="n"/>
      <c r="I248" s="14" t="n"/>
      <c r="J248" s="16" t="n"/>
      <c r="K248" s="14">
        <f>Table1[[#This Row],[Complexity]]*$A$11+SUM(Table1[[#This Row],[Other 
Integration]:[OEM 
Integration]])*$C$11</f>
        <v/>
      </c>
      <c r="L248" s="7" t="n"/>
      <c r="M248" s="7" t="n"/>
    </row>
    <row r="249">
      <c r="A249" s="14" t="n">
        <v>233</v>
      </c>
      <c r="B249" s="14" t="n"/>
      <c r="C249" s="14" t="n"/>
      <c r="D249" s="14" t="n"/>
      <c r="E249" s="14" t="n"/>
      <c r="F249" s="14" t="n"/>
      <c r="G249" s="14" t="n"/>
      <c r="H249" s="14" t="n"/>
      <c r="I249" s="14" t="n"/>
      <c r="J249" s="16" t="n"/>
      <c r="K249" s="14">
        <f>Table1[[#This Row],[Complexity]]*$A$11+SUM(Table1[[#This Row],[Other 
Integration]:[OEM 
Integration]])*$C$11</f>
        <v/>
      </c>
      <c r="L249" s="7" t="n"/>
      <c r="M249" s="7" t="n"/>
    </row>
    <row r="250">
      <c r="A250" s="14" t="n">
        <v>234</v>
      </c>
      <c r="B250" s="14" t="n"/>
      <c r="C250" s="14" t="n"/>
      <c r="D250" s="14" t="n"/>
      <c r="E250" s="14" t="n"/>
      <c r="F250" s="14" t="n"/>
      <c r="G250" s="14" t="n"/>
      <c r="H250" s="14" t="n"/>
      <c r="I250" s="14" t="n"/>
      <c r="J250" s="16" t="n"/>
      <c r="K250" s="14">
        <f>Table1[[#This Row],[Complexity]]*$A$11+SUM(Table1[[#This Row],[Other 
Integration]:[OEM 
Integration]])*$C$11</f>
        <v/>
      </c>
      <c r="L250" s="7" t="n"/>
      <c r="M250" s="7" t="n"/>
    </row>
    <row r="251">
      <c r="A251" s="14" t="n">
        <v>235</v>
      </c>
      <c r="B251" s="14" t="n"/>
      <c r="C251" s="14" t="n"/>
      <c r="D251" s="14" t="n"/>
      <c r="E251" s="14" t="n"/>
      <c r="F251" s="14" t="n"/>
      <c r="G251" s="14" t="n"/>
      <c r="H251" s="14" t="n"/>
      <c r="I251" s="14" t="n"/>
      <c r="J251" s="16" t="n"/>
      <c r="K251" s="14">
        <f>Table1[[#This Row],[Complexity]]*$A$11+SUM(Table1[[#This Row],[Other 
Integration]:[OEM 
Integration]])*$C$11</f>
        <v/>
      </c>
      <c r="L251" s="7" t="n"/>
      <c r="M251" s="7" t="n"/>
    </row>
    <row r="252">
      <c r="A252" s="14" t="n">
        <v>236</v>
      </c>
      <c r="B252" s="14" t="n"/>
      <c r="C252" s="14" t="n"/>
      <c r="D252" s="14" t="n"/>
      <c r="E252" s="14" t="n"/>
      <c r="F252" s="14" t="n"/>
      <c r="G252" s="14" t="n"/>
      <c r="H252" s="14" t="n"/>
      <c r="I252" s="14" t="n"/>
      <c r="J252" s="16" t="n"/>
      <c r="K252" s="14">
        <f>Table1[[#This Row],[Complexity]]*$A$11+SUM(Table1[[#This Row],[Other 
Integration]:[OEM 
Integration]])*$C$11</f>
        <v/>
      </c>
      <c r="L252" s="7" t="n"/>
      <c r="M252" s="7" t="n"/>
    </row>
    <row r="253">
      <c r="A253" s="14" t="n">
        <v>237</v>
      </c>
      <c r="B253" s="14" t="n"/>
      <c r="C253" s="14" t="n"/>
      <c r="D253" s="14" t="n"/>
      <c r="E253" s="14" t="n"/>
      <c r="F253" s="14" t="n"/>
      <c r="G253" s="14" t="n"/>
      <c r="H253" s="14" t="n"/>
      <c r="I253" s="14" t="n"/>
      <c r="J253" s="16" t="n"/>
      <c r="K253" s="14">
        <f>Table1[[#This Row],[Complexity]]*$A$11+SUM(Table1[[#This Row],[Other 
Integration]:[OEM 
Integration]])*$C$11</f>
        <v/>
      </c>
      <c r="L253" s="7" t="n"/>
      <c r="M253" s="7" t="n"/>
    </row>
    <row r="254">
      <c r="A254" s="14" t="n">
        <v>238</v>
      </c>
      <c r="B254" s="14" t="n"/>
      <c r="C254" s="14" t="n"/>
      <c r="D254" s="14" t="n"/>
      <c r="E254" s="14" t="n"/>
      <c r="F254" s="14" t="n"/>
      <c r="G254" s="14" t="n"/>
      <c r="H254" s="14" t="n"/>
      <c r="I254" s="14" t="n"/>
      <c r="J254" s="16" t="n"/>
      <c r="K254" s="14">
        <f>Table1[[#This Row],[Complexity]]*$A$11+SUM(Table1[[#This Row],[Other 
Integration]:[OEM 
Integration]])*$C$11</f>
        <v/>
      </c>
      <c r="L254" s="7" t="n"/>
      <c r="M254" s="7" t="n"/>
    </row>
    <row r="255">
      <c r="A255" s="14" t="n">
        <v>239</v>
      </c>
      <c r="B255" s="14" t="n"/>
      <c r="C255" s="14" t="n"/>
      <c r="D255" s="14" t="n"/>
      <c r="E255" s="14" t="n"/>
      <c r="F255" s="14" t="n"/>
      <c r="G255" s="14" t="n"/>
      <c r="H255" s="14" t="n"/>
      <c r="I255" s="14" t="n"/>
      <c r="J255" s="16" t="n"/>
      <c r="K255" s="14">
        <f>Table1[[#This Row],[Complexity]]*$A$11+SUM(Table1[[#This Row],[Other 
Integration]:[OEM 
Integration]])*$C$11</f>
        <v/>
      </c>
      <c r="L255" s="7" t="n"/>
      <c r="M255" s="7" t="n"/>
    </row>
    <row r="256">
      <c r="A256" s="14" t="n">
        <v>240</v>
      </c>
      <c r="B256" s="14" t="n"/>
      <c r="C256" s="14" t="n"/>
      <c r="D256" s="14" t="n"/>
      <c r="E256" s="14" t="n"/>
      <c r="F256" s="14" t="n"/>
      <c r="G256" s="14" t="n"/>
      <c r="H256" s="14" t="n"/>
      <c r="I256" s="14" t="n"/>
      <c r="J256" s="16" t="n"/>
      <c r="K256" s="14">
        <f>Table1[[#This Row],[Complexity]]*$A$11+SUM(Table1[[#This Row],[Other 
Integration]:[OEM 
Integration]])*$C$11</f>
        <v/>
      </c>
      <c r="L256" s="7" t="n"/>
      <c r="M256" s="7" t="n"/>
    </row>
    <row r="257">
      <c r="A257" s="14" t="n">
        <v>241</v>
      </c>
      <c r="B257" s="14" t="n"/>
      <c r="C257" s="14" t="n"/>
      <c r="D257" s="14" t="n"/>
      <c r="E257" s="14" t="n"/>
      <c r="F257" s="14" t="n"/>
      <c r="G257" s="14" t="n"/>
      <c r="H257" s="14" t="n"/>
      <c r="I257" s="14" t="n"/>
      <c r="J257" s="16" t="n"/>
      <c r="K257" s="14">
        <f>Table1[[#This Row],[Complexity]]*$A$11+SUM(Table1[[#This Row],[Other 
Integration]:[OEM 
Integration]])*$C$11</f>
        <v/>
      </c>
      <c r="L257" s="7" t="n"/>
      <c r="M257" s="7" t="n"/>
    </row>
    <row r="258">
      <c r="A258" s="14" t="n">
        <v>242</v>
      </c>
      <c r="B258" s="14" t="n"/>
      <c r="C258" s="14" t="n"/>
      <c r="D258" s="14" t="n"/>
      <c r="E258" s="14" t="n"/>
      <c r="F258" s="14" t="n"/>
      <c r="G258" s="14" t="n"/>
      <c r="H258" s="14" t="n"/>
      <c r="I258" s="14" t="n"/>
      <c r="J258" s="16" t="n"/>
      <c r="K258" s="14">
        <f>Table1[[#This Row],[Complexity]]*$A$11+SUM(Table1[[#This Row],[Other 
Integration]:[OEM 
Integration]])*$C$11</f>
        <v/>
      </c>
      <c r="L258" s="7" t="n"/>
      <c r="M258" s="7" t="n"/>
    </row>
    <row r="259">
      <c r="A259" s="14" t="n">
        <v>243</v>
      </c>
      <c r="B259" s="14" t="n"/>
      <c r="C259" s="14" t="n"/>
      <c r="D259" s="14" t="n"/>
      <c r="E259" s="14" t="n"/>
      <c r="F259" s="14" t="n"/>
      <c r="G259" s="14" t="n"/>
      <c r="H259" s="14" t="n"/>
      <c r="I259" s="14" t="n"/>
      <c r="J259" s="16" t="n"/>
      <c r="K259" s="14">
        <f>Table1[[#This Row],[Complexity]]*$A$11+SUM(Table1[[#This Row],[Other 
Integration]:[OEM 
Integration]])*$C$11</f>
        <v/>
      </c>
      <c r="L259" s="7" t="n"/>
      <c r="M259" s="7" t="n"/>
    </row>
    <row r="260">
      <c r="A260" s="14" t="n">
        <v>244</v>
      </c>
      <c r="B260" s="14" t="n"/>
      <c r="C260" s="14" t="n"/>
      <c r="D260" s="14" t="n"/>
      <c r="E260" s="14" t="n"/>
      <c r="F260" s="14" t="n"/>
      <c r="G260" s="14" t="n"/>
      <c r="H260" s="14" t="n"/>
      <c r="I260" s="14" t="n"/>
      <c r="J260" s="16" t="n"/>
      <c r="K260" s="14">
        <f>Table1[[#This Row],[Complexity]]*$A$11+SUM(Table1[[#This Row],[Other 
Integration]:[OEM 
Integration]])*$C$11</f>
        <v/>
      </c>
      <c r="L260" s="7" t="n"/>
      <c r="M260" s="7" t="n"/>
    </row>
    <row r="261">
      <c r="A261" s="14" t="n">
        <v>245</v>
      </c>
      <c r="B261" s="14" t="n"/>
      <c r="C261" s="14" t="n"/>
      <c r="D261" s="14" t="n"/>
      <c r="E261" s="14" t="n"/>
      <c r="F261" s="14" t="n"/>
      <c r="G261" s="14" t="n"/>
      <c r="H261" s="14" t="n"/>
      <c r="I261" s="14" t="n"/>
      <c r="J261" s="16" t="n"/>
      <c r="K261" s="14">
        <f>Table1[[#This Row],[Complexity]]*$A$11+SUM(Table1[[#This Row],[Other 
Integration]:[OEM 
Integration]])*$C$11</f>
        <v/>
      </c>
      <c r="L261" s="7" t="n"/>
      <c r="M261" s="7" t="n"/>
    </row>
    <row r="262">
      <c r="A262" s="14" t="n">
        <v>246</v>
      </c>
      <c r="B262" s="14" t="n"/>
      <c r="C262" s="14" t="n"/>
      <c r="D262" s="14" t="n"/>
      <c r="E262" s="14" t="n"/>
      <c r="F262" s="14" t="n"/>
      <c r="G262" s="14" t="n"/>
      <c r="H262" s="14" t="n"/>
      <c r="I262" s="14" t="n"/>
      <c r="J262" s="16" t="n"/>
      <c r="K262" s="14">
        <f>Table1[[#This Row],[Complexity]]*$A$11+SUM(Table1[[#This Row],[Other 
Integration]:[OEM 
Integration]])*$C$11</f>
        <v/>
      </c>
      <c r="L262" s="7" t="n"/>
      <c r="M262" s="7" t="n"/>
    </row>
    <row r="263">
      <c r="A263" s="14" t="n">
        <v>247</v>
      </c>
      <c r="B263" s="14" t="n"/>
      <c r="C263" s="14" t="n"/>
      <c r="D263" s="14" t="n"/>
      <c r="E263" s="14" t="n"/>
      <c r="F263" s="14" t="n"/>
      <c r="G263" s="14" t="n"/>
      <c r="H263" s="14" t="n"/>
      <c r="I263" s="14" t="n"/>
      <c r="J263" s="16" t="n"/>
      <c r="K263" s="14">
        <f>Table1[[#This Row],[Complexity]]*$A$11+SUM(Table1[[#This Row],[Other 
Integration]:[OEM 
Integration]])*$C$11</f>
        <v/>
      </c>
      <c r="L263" s="7" t="n"/>
      <c r="M263" s="7" t="n"/>
    </row>
    <row r="264">
      <c r="A264" s="14" t="n">
        <v>248</v>
      </c>
      <c r="B264" s="14" t="n"/>
      <c r="C264" s="14" t="n"/>
      <c r="D264" s="14" t="n"/>
      <c r="E264" s="14" t="n"/>
      <c r="F264" s="14" t="n"/>
      <c r="G264" s="14" t="n"/>
      <c r="H264" s="14" t="n"/>
      <c r="I264" s="14" t="n"/>
      <c r="J264" s="16" t="n"/>
      <c r="K264" s="14">
        <f>Table1[[#This Row],[Complexity]]*$A$11+SUM(Table1[[#This Row],[Other 
Integration]:[OEM 
Integration]])*$C$11</f>
        <v/>
      </c>
      <c r="L264" s="7" t="n"/>
      <c r="M264" s="7" t="n"/>
    </row>
    <row r="265">
      <c r="A265" s="14" t="n">
        <v>249</v>
      </c>
      <c r="B265" s="14" t="n"/>
      <c r="C265" s="14" t="n"/>
      <c r="D265" s="14" t="n"/>
      <c r="E265" s="14" t="n"/>
      <c r="F265" s="14" t="n"/>
      <c r="G265" s="14" t="n"/>
      <c r="H265" s="14" t="n"/>
      <c r="I265" s="14" t="n"/>
      <c r="J265" s="16" t="n"/>
      <c r="K265" s="14">
        <f>Table1[[#This Row],[Complexity]]*$A$11+SUM(Table1[[#This Row],[Other 
Integration]:[OEM 
Integration]])*$C$11</f>
        <v/>
      </c>
      <c r="L265" s="7" t="n"/>
      <c r="M265" s="7" t="n"/>
    </row>
    <row r="266">
      <c r="A266" s="14" t="n">
        <v>250</v>
      </c>
      <c r="B266" s="14" t="n"/>
      <c r="C266" s="14" t="n"/>
      <c r="D266" s="14" t="n"/>
      <c r="E266" s="14" t="n"/>
      <c r="F266" s="14" t="n"/>
      <c r="G266" s="14" t="n"/>
      <c r="H266" s="14" t="n"/>
      <c r="I266" s="14" t="n"/>
      <c r="J266" s="16" t="n"/>
      <c r="K266" s="14">
        <f>Table1[[#This Row],[Complexity]]*$A$11+SUM(Table1[[#This Row],[Other 
Integration]:[OEM 
Integration]])*$C$11</f>
        <v/>
      </c>
      <c r="L266" s="7" t="n"/>
      <c r="M266" s="7" t="n"/>
    </row>
    <row r="267">
      <c r="A267" s="14" t="n">
        <v>251</v>
      </c>
      <c r="B267" s="14" t="n"/>
      <c r="C267" s="14" t="n"/>
      <c r="D267" s="14" t="n"/>
      <c r="E267" s="14" t="n"/>
      <c r="F267" s="14" t="n"/>
      <c r="G267" s="14" t="n"/>
      <c r="H267" s="14" t="n"/>
      <c r="I267" s="14" t="n"/>
      <c r="J267" s="16" t="n"/>
      <c r="K267" s="14">
        <f>Table1[[#This Row],[Complexity]]*$A$11+SUM(Table1[[#This Row],[Other 
Integration]:[OEM 
Integration]])*$C$11</f>
        <v/>
      </c>
      <c r="L267" s="7" t="n"/>
      <c r="M267" s="7" t="n"/>
    </row>
    <row r="268">
      <c r="A268" s="14" t="n">
        <v>252</v>
      </c>
      <c r="B268" s="14" t="n"/>
      <c r="C268" s="14" t="n"/>
      <c r="D268" s="14" t="n"/>
      <c r="E268" s="14" t="n"/>
      <c r="F268" s="14" t="n"/>
      <c r="G268" s="14" t="n"/>
      <c r="H268" s="14" t="n"/>
      <c r="I268" s="14" t="n"/>
      <c r="J268" s="16" t="n"/>
      <c r="K268" s="14">
        <f>Table1[[#This Row],[Complexity]]*$A$11+SUM(Table1[[#This Row],[Other 
Integration]:[OEM 
Integration]])*$C$11</f>
        <v/>
      </c>
      <c r="L268" s="7" t="n"/>
      <c r="M268" s="7" t="n"/>
    </row>
    <row r="269">
      <c r="A269" s="14" t="n">
        <v>253</v>
      </c>
      <c r="B269" s="14" t="n"/>
      <c r="C269" s="14" t="n"/>
      <c r="D269" s="14" t="n"/>
      <c r="E269" s="14" t="n"/>
      <c r="F269" s="14" t="n"/>
      <c r="G269" s="14" t="n"/>
      <c r="H269" s="14" t="n"/>
      <c r="I269" s="14" t="n"/>
      <c r="J269" s="16" t="n"/>
      <c r="K269" s="14">
        <f>Table1[[#This Row],[Complexity]]*$A$11+SUM(Table1[[#This Row],[Other 
Integration]:[OEM 
Integration]])*$C$11</f>
        <v/>
      </c>
      <c r="L269" s="7" t="n"/>
      <c r="M269" s="7" t="n"/>
    </row>
    <row r="270">
      <c r="A270" s="14" t="n">
        <v>254</v>
      </c>
      <c r="B270" s="14" t="n"/>
      <c r="C270" s="14" t="n"/>
      <c r="D270" s="14" t="n"/>
      <c r="E270" s="14" t="n"/>
      <c r="F270" s="14" t="n"/>
      <c r="G270" s="14" t="n"/>
      <c r="H270" s="14" t="n"/>
      <c r="I270" s="14" t="n"/>
      <c r="J270" s="16" t="n"/>
      <c r="K270" s="14">
        <f>Table1[[#This Row],[Complexity]]*$A$11+SUM(Table1[[#This Row],[Other 
Integration]:[OEM 
Integration]])*$C$11</f>
        <v/>
      </c>
      <c r="L270" s="7" t="n"/>
      <c r="M270" s="7" t="n"/>
    </row>
    <row r="271">
      <c r="A271" s="14" t="n">
        <v>255</v>
      </c>
      <c r="B271" s="14" t="n"/>
      <c r="C271" s="14" t="n"/>
      <c r="D271" s="14" t="n"/>
      <c r="E271" s="14" t="n"/>
      <c r="F271" s="14" t="n"/>
      <c r="G271" s="14" t="n"/>
      <c r="H271" s="14" t="n"/>
      <c r="I271" s="14" t="n"/>
      <c r="J271" s="16" t="n"/>
      <c r="K271" s="14">
        <f>Table1[[#This Row],[Complexity]]*$A$11+SUM(Table1[[#This Row],[Other 
Integration]:[OEM 
Integration]])*$C$11</f>
        <v/>
      </c>
      <c r="L271" s="7" t="n"/>
      <c r="M271" s="7" t="n"/>
    </row>
    <row r="272">
      <c r="A272" s="14" t="n">
        <v>256</v>
      </c>
      <c r="B272" s="14" t="n"/>
      <c r="C272" s="14" t="n"/>
      <c r="D272" s="14" t="n"/>
      <c r="E272" s="14" t="n"/>
      <c r="F272" s="14" t="n"/>
      <c r="G272" s="14" t="n"/>
      <c r="H272" s="14" t="n"/>
      <c r="I272" s="14" t="n"/>
      <c r="J272" s="16" t="n"/>
      <c r="K272" s="14">
        <f>Table1[[#This Row],[Complexity]]*$A$11+SUM(Table1[[#This Row],[Other 
Integration]:[OEM 
Integration]])*$C$11</f>
        <v/>
      </c>
      <c r="L272" s="7" t="n"/>
      <c r="M272" s="7" t="n"/>
    </row>
    <row r="273">
      <c r="A273" s="14" t="n">
        <v>257</v>
      </c>
      <c r="B273" s="14" t="n"/>
      <c r="C273" s="14" t="n"/>
      <c r="D273" s="14" t="n"/>
      <c r="E273" s="14" t="n"/>
      <c r="F273" s="14" t="n"/>
      <c r="G273" s="14" t="n"/>
      <c r="H273" s="14" t="n"/>
      <c r="I273" s="14" t="n"/>
      <c r="J273" s="16" t="n"/>
      <c r="K273" s="14">
        <f>Table1[[#This Row],[Complexity]]*$A$11+SUM(Table1[[#This Row],[Other 
Integration]:[OEM 
Integration]])*$C$11</f>
        <v/>
      </c>
      <c r="L273" s="7" t="n"/>
      <c r="M273" s="7" t="n"/>
    </row>
    <row r="274">
      <c r="A274" s="14" t="n">
        <v>258</v>
      </c>
      <c r="B274" s="14" t="n"/>
      <c r="C274" s="14" t="n"/>
      <c r="D274" s="14" t="n"/>
      <c r="E274" s="14" t="n"/>
      <c r="F274" s="14" t="n"/>
      <c r="G274" s="14" t="n"/>
      <c r="H274" s="14" t="n"/>
      <c r="I274" s="14" t="n"/>
      <c r="J274" s="16" t="n"/>
      <c r="K274" s="14">
        <f>Table1[[#This Row],[Complexity]]*$A$11+SUM(Table1[[#This Row],[Other 
Integration]:[OEM 
Integration]])*$C$11</f>
        <v/>
      </c>
      <c r="L274" s="7" t="n"/>
      <c r="M274" s="7" t="n"/>
    </row>
    <row r="275">
      <c r="A275" s="14" t="n">
        <v>259</v>
      </c>
      <c r="B275" s="14" t="n"/>
      <c r="C275" s="14" t="n"/>
      <c r="D275" s="14" t="n"/>
      <c r="E275" s="14" t="n"/>
      <c r="F275" s="14" t="n"/>
      <c r="G275" s="14" t="n"/>
      <c r="H275" s="14" t="n"/>
      <c r="I275" s="14" t="n"/>
      <c r="J275" s="16" t="n"/>
      <c r="K275" s="14">
        <f>Table1[[#This Row],[Complexity]]*$A$11+SUM(Table1[[#This Row],[Other 
Integration]:[OEM 
Integration]])*$C$11</f>
        <v/>
      </c>
      <c r="L275" s="7" t="n"/>
      <c r="M275" s="7" t="n"/>
    </row>
    <row r="276">
      <c r="A276" s="14" t="n">
        <v>260</v>
      </c>
      <c r="B276" s="14" t="n"/>
      <c r="C276" s="14" t="n"/>
      <c r="D276" s="14" t="n"/>
      <c r="E276" s="14" t="n"/>
      <c r="F276" s="14" t="n"/>
      <c r="G276" s="14" t="n"/>
      <c r="H276" s="14" t="n"/>
      <c r="I276" s="14" t="n"/>
      <c r="J276" s="16" t="n"/>
      <c r="K276" s="14">
        <f>Table1[[#This Row],[Complexity]]*$A$11+SUM(Table1[[#This Row],[Other 
Integration]:[OEM 
Integration]])*$C$11</f>
        <v/>
      </c>
      <c r="L276" s="7" t="n"/>
      <c r="M276" s="7" t="n"/>
    </row>
    <row r="277">
      <c r="A277" s="14" t="n">
        <v>261</v>
      </c>
      <c r="B277" s="14" t="n"/>
      <c r="C277" s="14" t="n"/>
      <c r="D277" s="14" t="n"/>
      <c r="E277" s="14" t="n"/>
      <c r="F277" s="14" t="n"/>
      <c r="G277" s="14" t="n"/>
      <c r="H277" s="14" t="n"/>
      <c r="I277" s="14" t="n"/>
      <c r="J277" s="16" t="n"/>
      <c r="K277" s="14">
        <f>Table1[[#This Row],[Complexity]]*$A$11+SUM(Table1[[#This Row],[Other 
Integration]:[OEM 
Integration]])*$C$11</f>
        <v/>
      </c>
      <c r="L277" s="7" t="n"/>
      <c r="M277" s="7" t="n"/>
    </row>
    <row r="278">
      <c r="A278" s="14" t="n">
        <v>262</v>
      </c>
      <c r="B278" s="14" t="n"/>
      <c r="C278" s="14" t="n"/>
      <c r="D278" s="14" t="n"/>
      <c r="E278" s="14" t="n"/>
      <c r="F278" s="14" t="n"/>
      <c r="G278" s="14" t="n"/>
      <c r="H278" s="14" t="n"/>
      <c r="I278" s="14" t="n"/>
      <c r="J278" s="16" t="n"/>
      <c r="K278" s="14">
        <f>Table1[[#This Row],[Complexity]]*$A$11+SUM(Table1[[#This Row],[Other 
Integration]:[OEM 
Integration]])*$C$11</f>
        <v/>
      </c>
      <c r="L278" s="7" t="n"/>
      <c r="M278" s="7" t="n"/>
    </row>
    <row r="279">
      <c r="A279" s="14" t="n">
        <v>263</v>
      </c>
      <c r="B279" s="14" t="n"/>
      <c r="C279" s="14" t="n"/>
      <c r="D279" s="14" t="n"/>
      <c r="E279" s="14" t="n"/>
      <c r="F279" s="14" t="n"/>
      <c r="G279" s="14" t="n"/>
      <c r="H279" s="14" t="n"/>
      <c r="I279" s="14" t="n"/>
      <c r="J279" s="16" t="n"/>
      <c r="K279" s="14">
        <f>Table1[[#This Row],[Complexity]]*$A$11+SUM(Table1[[#This Row],[Other 
Integration]:[OEM 
Integration]])*$C$11</f>
        <v/>
      </c>
      <c r="L279" s="7" t="n"/>
      <c r="M279" s="7" t="n"/>
    </row>
    <row r="280">
      <c r="A280" s="14" t="n">
        <v>264</v>
      </c>
      <c r="B280" s="14" t="n"/>
      <c r="C280" s="14" t="n"/>
      <c r="D280" s="14" t="n"/>
      <c r="E280" s="14" t="n"/>
      <c r="F280" s="14" t="n"/>
      <c r="G280" s="14" t="n"/>
      <c r="H280" s="14" t="n"/>
      <c r="I280" s="14" t="n"/>
      <c r="J280" s="16" t="n"/>
      <c r="K280" s="14">
        <f>Table1[[#This Row],[Complexity]]*$A$11+SUM(Table1[[#This Row],[Other 
Integration]:[OEM 
Integration]])*$C$11</f>
        <v/>
      </c>
      <c r="L280" s="7" t="n"/>
      <c r="M280" s="7" t="n"/>
    </row>
    <row r="281">
      <c r="A281" s="14" t="n">
        <v>265</v>
      </c>
      <c r="B281" s="14" t="n"/>
      <c r="C281" s="14" t="n"/>
      <c r="D281" s="14" t="n"/>
      <c r="E281" s="14" t="n"/>
      <c r="F281" s="14" t="n"/>
      <c r="G281" s="14" t="n"/>
      <c r="H281" s="14" t="n"/>
      <c r="I281" s="14" t="n"/>
      <c r="J281" s="16" t="n"/>
      <c r="K281" s="14">
        <f>Table1[[#This Row],[Complexity]]*$A$11+SUM(Table1[[#This Row],[Other 
Integration]:[OEM 
Integration]])*$C$11</f>
        <v/>
      </c>
      <c r="L281" s="7" t="n"/>
      <c r="M281" s="7" t="n"/>
    </row>
    <row r="282">
      <c r="A282" s="14" t="n">
        <v>266</v>
      </c>
      <c r="B282" s="14" t="n"/>
      <c r="C282" s="14" t="n"/>
      <c r="D282" s="14" t="n"/>
      <c r="E282" s="14" t="n"/>
      <c r="F282" s="14" t="n"/>
      <c r="G282" s="14" t="n"/>
      <c r="H282" s="14" t="n"/>
      <c r="I282" s="14" t="n"/>
      <c r="J282" s="16" t="n"/>
      <c r="K282" s="14">
        <f>Table1[[#This Row],[Complexity]]*$A$11+SUM(Table1[[#This Row],[Other 
Integration]:[OEM 
Integration]])*$C$11</f>
        <v/>
      </c>
      <c r="L282" s="7" t="n"/>
      <c r="M282" s="7" t="n"/>
    </row>
    <row r="283">
      <c r="A283" s="14" t="n">
        <v>267</v>
      </c>
      <c r="B283" s="14" t="n"/>
      <c r="C283" s="14" t="n"/>
      <c r="D283" s="14" t="n"/>
      <c r="E283" s="14" t="n"/>
      <c r="F283" s="14" t="n"/>
      <c r="G283" s="14" t="n"/>
      <c r="H283" s="14" t="n"/>
      <c r="I283" s="14" t="n"/>
      <c r="J283" s="16" t="n"/>
      <c r="K283" s="14">
        <f>Table1[[#This Row],[Complexity]]*$A$11+SUM(Table1[[#This Row],[Other 
Integration]:[OEM 
Integration]])*$C$11</f>
        <v/>
      </c>
      <c r="L283" s="7" t="n"/>
      <c r="M283" s="7" t="n"/>
    </row>
    <row r="284">
      <c r="A284" s="14" t="n">
        <v>268</v>
      </c>
      <c r="B284" s="14" t="n"/>
      <c r="C284" s="14" t="n"/>
      <c r="D284" s="14" t="n"/>
      <c r="E284" s="14" t="n"/>
      <c r="F284" s="14" t="n"/>
      <c r="G284" s="14" t="n"/>
      <c r="H284" s="14" t="n"/>
      <c r="I284" s="14" t="n"/>
      <c r="J284" s="16" t="n"/>
      <c r="K284" s="14">
        <f>Table1[[#This Row],[Complexity]]*$A$11+SUM(Table1[[#This Row],[Other 
Integration]:[OEM 
Integration]])*$C$11</f>
        <v/>
      </c>
      <c r="L284" s="7" t="n"/>
      <c r="M284" s="7" t="n"/>
    </row>
    <row r="285">
      <c r="A285" s="14" t="n">
        <v>269</v>
      </c>
      <c r="B285" s="14" t="n"/>
      <c r="C285" s="14" t="n"/>
      <c r="D285" s="14" t="n"/>
      <c r="E285" s="14" t="n"/>
      <c r="F285" s="14" t="n"/>
      <c r="G285" s="14" t="n"/>
      <c r="H285" s="14" t="n"/>
      <c r="I285" s="14" t="n"/>
      <c r="J285" s="16" t="n"/>
      <c r="K285" s="14">
        <f>Table1[[#This Row],[Complexity]]*$A$11+SUM(Table1[[#This Row],[Other 
Integration]:[OEM 
Integration]])*$C$11</f>
        <v/>
      </c>
      <c r="L285" s="7" t="n"/>
      <c r="M285" s="7" t="n"/>
    </row>
    <row r="286">
      <c r="A286" s="14" t="n">
        <v>270</v>
      </c>
      <c r="B286" s="14" t="n"/>
      <c r="C286" s="14" t="n"/>
      <c r="D286" s="14" t="n"/>
      <c r="E286" s="14" t="n"/>
      <c r="F286" s="14" t="n"/>
      <c r="G286" s="14" t="n"/>
      <c r="H286" s="14" t="n"/>
      <c r="I286" s="14" t="n"/>
      <c r="J286" s="16" t="n"/>
      <c r="K286" s="14">
        <f>Table1[[#This Row],[Complexity]]*$A$11+SUM(Table1[[#This Row],[Other 
Integration]:[OEM 
Integration]])*$C$11</f>
        <v/>
      </c>
      <c r="L286" s="7" t="n"/>
      <c r="M286" s="7" t="n"/>
    </row>
    <row r="287">
      <c r="A287" s="14" t="n">
        <v>271</v>
      </c>
      <c r="B287" s="14" t="n"/>
      <c r="C287" s="14" t="n"/>
      <c r="D287" s="14" t="n"/>
      <c r="E287" s="14" t="n"/>
      <c r="F287" s="14" t="n"/>
      <c r="G287" s="14" t="n"/>
      <c r="H287" s="14" t="n"/>
      <c r="I287" s="14" t="n"/>
      <c r="J287" s="16" t="n"/>
      <c r="K287" s="14">
        <f>Table1[[#This Row],[Complexity]]*$A$11+SUM(Table1[[#This Row],[Other 
Integration]:[OEM 
Integration]])*$C$11</f>
        <v/>
      </c>
      <c r="L287" s="7" t="n"/>
      <c r="M287" s="7" t="n"/>
    </row>
    <row r="288">
      <c r="A288" s="14" t="n">
        <v>272</v>
      </c>
      <c r="B288" s="14" t="n"/>
      <c r="C288" s="14" t="n"/>
      <c r="D288" s="14" t="n"/>
      <c r="E288" s="14" t="n"/>
      <c r="F288" s="14" t="n"/>
      <c r="G288" s="14" t="n"/>
      <c r="H288" s="14" t="n"/>
      <c r="I288" s="14" t="n"/>
      <c r="J288" s="16" t="n"/>
      <c r="K288" s="14">
        <f>Table1[[#This Row],[Complexity]]*$A$11+SUM(Table1[[#This Row],[Other 
Integration]:[OEM 
Integration]])*$C$11</f>
        <v/>
      </c>
      <c r="L288" s="7" t="n"/>
      <c r="M288" s="7" t="n"/>
    </row>
    <row r="289">
      <c r="A289" s="14" t="n">
        <v>273</v>
      </c>
      <c r="B289" s="14" t="n"/>
      <c r="C289" s="14" t="n"/>
      <c r="D289" s="14" t="n"/>
      <c r="E289" s="14" t="n"/>
      <c r="F289" s="14" t="n"/>
      <c r="G289" s="14" t="n"/>
      <c r="H289" s="14" t="n"/>
      <c r="I289" s="14" t="n"/>
      <c r="J289" s="16" t="n"/>
      <c r="K289" s="14">
        <f>Table1[[#This Row],[Complexity]]*$A$11+SUM(Table1[[#This Row],[Other 
Integration]:[OEM 
Integration]])*$C$11</f>
        <v/>
      </c>
      <c r="L289" s="7" t="n"/>
      <c r="M289" s="7" t="n"/>
    </row>
    <row r="290">
      <c r="A290" s="14" t="n">
        <v>274</v>
      </c>
      <c r="B290" s="14" t="n"/>
      <c r="C290" s="14" t="n"/>
      <c r="D290" s="14" t="n"/>
      <c r="E290" s="14" t="n"/>
      <c r="F290" s="14" t="n"/>
      <c r="G290" s="14" t="n"/>
      <c r="H290" s="14" t="n"/>
      <c r="I290" s="14" t="n"/>
      <c r="J290" s="16" t="n"/>
      <c r="K290" s="14">
        <f>Table1[[#This Row],[Complexity]]*$A$11+SUM(Table1[[#This Row],[Other 
Integration]:[OEM 
Integration]])*$C$11</f>
        <v/>
      </c>
      <c r="L290" s="7" t="n"/>
      <c r="M290" s="7" t="n"/>
    </row>
    <row r="291">
      <c r="A291" s="14" t="n">
        <v>275</v>
      </c>
      <c r="B291" s="14" t="n"/>
      <c r="C291" s="14" t="n"/>
      <c r="D291" s="14" t="n"/>
      <c r="E291" s="14" t="n"/>
      <c r="F291" s="14" t="n"/>
      <c r="G291" s="14" t="n"/>
      <c r="H291" s="14" t="n"/>
      <c r="I291" s="14" t="n"/>
      <c r="J291" s="16" t="n"/>
      <c r="K291" s="14">
        <f>Table1[[#This Row],[Complexity]]*$A$11+SUM(Table1[[#This Row],[Other 
Integration]:[OEM 
Integration]])*$C$11</f>
        <v/>
      </c>
      <c r="L291" s="7" t="n"/>
      <c r="M291" s="7" t="n"/>
    </row>
    <row r="292">
      <c r="A292" s="14" t="n">
        <v>276</v>
      </c>
      <c r="B292" s="14" t="n"/>
      <c r="C292" s="14" t="n"/>
      <c r="D292" s="14" t="n"/>
      <c r="E292" s="14" t="n"/>
      <c r="F292" s="14" t="n"/>
      <c r="G292" s="14" t="n"/>
      <c r="H292" s="14" t="n"/>
      <c r="I292" s="14" t="n"/>
      <c r="J292" s="16" t="n"/>
      <c r="K292" s="14">
        <f>Table1[[#This Row],[Complexity]]*$A$11+SUM(Table1[[#This Row],[Other 
Integration]:[OEM 
Integration]])*$C$11</f>
        <v/>
      </c>
      <c r="L292" s="7" t="n"/>
      <c r="M292" s="7" t="n"/>
    </row>
    <row r="293">
      <c r="A293" s="14" t="n">
        <v>277</v>
      </c>
      <c r="B293" s="14" t="n"/>
      <c r="C293" s="14" t="n"/>
      <c r="D293" s="14" t="n"/>
      <c r="E293" s="14" t="n"/>
      <c r="F293" s="14" t="n"/>
      <c r="G293" s="14" t="n"/>
      <c r="H293" s="14" t="n"/>
      <c r="I293" s="14" t="n"/>
      <c r="J293" s="16" t="n"/>
      <c r="K293" s="14">
        <f>Table1[[#This Row],[Complexity]]*$A$11+SUM(Table1[[#This Row],[Other 
Integration]:[OEM 
Integration]])*$C$11</f>
        <v/>
      </c>
      <c r="L293" s="7" t="n"/>
      <c r="M293" s="7" t="n"/>
    </row>
    <row r="294">
      <c r="A294" s="14" t="n">
        <v>278</v>
      </c>
      <c r="B294" s="14" t="n"/>
      <c r="C294" s="14" t="n"/>
      <c r="D294" s="14" t="n"/>
      <c r="E294" s="14" t="n"/>
      <c r="F294" s="14" t="n"/>
      <c r="G294" s="14" t="n"/>
      <c r="H294" s="14" t="n"/>
      <c r="I294" s="14" t="n"/>
      <c r="J294" s="16" t="n"/>
      <c r="K294" s="14">
        <f>Table1[[#This Row],[Complexity]]*$A$11+SUM(Table1[[#This Row],[Other 
Integration]:[OEM 
Integration]])*$C$11</f>
        <v/>
      </c>
      <c r="L294" s="7" t="n"/>
      <c r="M294" s="7" t="n"/>
    </row>
    <row r="295">
      <c r="A295" s="14" t="n">
        <v>279</v>
      </c>
      <c r="B295" s="14" t="n"/>
      <c r="C295" s="14" t="n"/>
      <c r="D295" s="14" t="n"/>
      <c r="E295" s="14" t="n"/>
      <c r="F295" s="14" t="n"/>
      <c r="G295" s="14" t="n"/>
      <c r="H295" s="14" t="n"/>
      <c r="I295" s="14" t="n"/>
      <c r="J295" s="16" t="n"/>
      <c r="K295" s="14">
        <f>Table1[[#This Row],[Complexity]]*$A$11+SUM(Table1[[#This Row],[Other 
Integration]:[OEM 
Integration]])*$C$11</f>
        <v/>
      </c>
      <c r="L295" s="7" t="n"/>
      <c r="M295" s="7" t="n"/>
    </row>
    <row r="296">
      <c r="A296" s="14" t="n">
        <v>280</v>
      </c>
      <c r="B296" s="14" t="n"/>
      <c r="C296" s="14" t="n"/>
      <c r="D296" s="14" t="n"/>
      <c r="E296" s="14" t="n"/>
      <c r="F296" s="14" t="n"/>
      <c r="G296" s="14" t="n"/>
      <c r="H296" s="14" t="n"/>
      <c r="I296" s="14" t="n"/>
      <c r="J296" s="16" t="n"/>
      <c r="K296" s="14">
        <f>Table1[[#This Row],[Complexity]]*$A$11+SUM(Table1[[#This Row],[Other 
Integration]:[OEM 
Integration]])*$C$11</f>
        <v/>
      </c>
      <c r="L296" s="7" t="n"/>
      <c r="M296" s="7" t="n"/>
    </row>
    <row r="297">
      <c r="A297" s="14" t="n">
        <v>281</v>
      </c>
      <c r="B297" s="14" t="n"/>
      <c r="C297" s="14" t="n"/>
      <c r="D297" s="14" t="n"/>
      <c r="E297" s="14" t="n"/>
      <c r="F297" s="14" t="n"/>
      <c r="G297" s="14" t="n"/>
      <c r="H297" s="14" t="n"/>
      <c r="I297" s="14" t="n"/>
      <c r="J297" s="16" t="n"/>
      <c r="K297" s="14">
        <f>Table1[[#This Row],[Complexity]]*$A$11+SUM(Table1[[#This Row],[Other 
Integration]:[OEM 
Integration]])*$C$11</f>
        <v/>
      </c>
      <c r="L297" s="7" t="n"/>
      <c r="M297" s="7" t="n"/>
    </row>
    <row r="298">
      <c r="A298" s="14" t="n">
        <v>282</v>
      </c>
      <c r="B298" s="14" t="n"/>
      <c r="C298" s="14" t="n"/>
      <c r="D298" s="14" t="n"/>
      <c r="E298" s="14" t="n"/>
      <c r="F298" s="14" t="n"/>
      <c r="G298" s="14" t="n"/>
      <c r="H298" s="14" t="n"/>
      <c r="I298" s="14" t="n"/>
      <c r="J298" s="16" t="n"/>
      <c r="K298" s="14">
        <f>Table1[[#This Row],[Complexity]]*$A$11+SUM(Table1[[#This Row],[Other 
Integration]:[OEM 
Integration]])*$C$11</f>
        <v/>
      </c>
      <c r="L298" s="7" t="n"/>
      <c r="M298" s="7" t="n"/>
    </row>
    <row r="299">
      <c r="A299" s="14" t="n">
        <v>283</v>
      </c>
      <c r="B299" s="14" t="n"/>
      <c r="C299" s="14" t="n"/>
      <c r="D299" s="14" t="n"/>
      <c r="E299" s="14" t="n"/>
      <c r="F299" s="14" t="n"/>
      <c r="G299" s="14" t="n"/>
      <c r="H299" s="14" t="n"/>
      <c r="I299" s="14" t="n"/>
      <c r="J299" s="16" t="n"/>
      <c r="K299" s="14">
        <f>Table1[[#This Row],[Complexity]]*$A$11+SUM(Table1[[#This Row],[Other 
Integration]:[OEM 
Integration]])*$C$11</f>
        <v/>
      </c>
      <c r="L299" s="7" t="n"/>
      <c r="M299" s="7" t="n"/>
    </row>
    <row r="300">
      <c r="A300" s="14" t="n">
        <v>284</v>
      </c>
      <c r="B300" s="14" t="n"/>
      <c r="C300" s="14" t="n"/>
      <c r="D300" s="14" t="n"/>
      <c r="E300" s="14" t="n"/>
      <c r="F300" s="14" t="n"/>
      <c r="G300" s="14" t="n"/>
      <c r="H300" s="14" t="n"/>
      <c r="I300" s="14" t="n"/>
      <c r="J300" s="16" t="n"/>
      <c r="K300" s="14">
        <f>Table1[[#This Row],[Complexity]]*$A$11+SUM(Table1[[#This Row],[Other 
Integration]:[OEM 
Integration]])*$C$11</f>
        <v/>
      </c>
      <c r="L300" s="7" t="n"/>
      <c r="M300" s="7" t="n"/>
    </row>
    <row r="301">
      <c r="A301" s="14" t="n">
        <v>285</v>
      </c>
      <c r="B301" s="14" t="n"/>
      <c r="C301" s="14" t="n"/>
      <c r="D301" s="14" t="n"/>
      <c r="E301" s="14" t="n"/>
      <c r="F301" s="14" t="n"/>
      <c r="G301" s="14" t="n"/>
      <c r="H301" s="14" t="n"/>
      <c r="I301" s="14" t="n"/>
      <c r="J301" s="16" t="n"/>
      <c r="K301" s="14">
        <f>Table1[[#This Row],[Complexity]]*$A$11+SUM(Table1[[#This Row],[Other 
Integration]:[OEM 
Integration]])*$C$11</f>
        <v/>
      </c>
      <c r="L301" s="7" t="n"/>
      <c r="M301" s="7" t="n"/>
    </row>
    <row r="302">
      <c r="A302" s="14" t="n">
        <v>286</v>
      </c>
      <c r="B302" s="14" t="n"/>
      <c r="C302" s="14" t="n"/>
      <c r="D302" s="14" t="n"/>
      <c r="E302" s="14" t="n"/>
      <c r="F302" s="14" t="n"/>
      <c r="G302" s="14" t="n"/>
      <c r="H302" s="14" t="n"/>
      <c r="I302" s="14" t="n"/>
      <c r="J302" s="16" t="n"/>
      <c r="K302" s="14">
        <f>Table1[[#This Row],[Complexity]]*$A$11+SUM(Table1[[#This Row],[Other 
Integration]:[OEM 
Integration]])*$C$11</f>
        <v/>
      </c>
      <c r="L302" s="7" t="n"/>
      <c r="M302" s="7" t="n"/>
    </row>
    <row r="303">
      <c r="A303" s="14" t="n">
        <v>287</v>
      </c>
      <c r="B303" s="14" t="n"/>
      <c r="C303" s="14" t="n"/>
      <c r="D303" s="14" t="n"/>
      <c r="E303" s="14" t="n"/>
      <c r="F303" s="14" t="n"/>
      <c r="G303" s="14" t="n"/>
      <c r="H303" s="14" t="n"/>
      <c r="I303" s="14" t="n"/>
      <c r="J303" s="16" t="n"/>
      <c r="K303" s="14">
        <f>Table1[[#This Row],[Complexity]]*$A$11+SUM(Table1[[#This Row],[Other 
Integration]:[OEM 
Integration]])*$C$11</f>
        <v/>
      </c>
      <c r="L303" s="7" t="n"/>
      <c r="M303" s="7" t="n"/>
    </row>
    <row r="304">
      <c r="A304" s="14" t="n">
        <v>288</v>
      </c>
      <c r="B304" s="14" t="n"/>
      <c r="C304" s="14" t="n"/>
      <c r="D304" s="14" t="n"/>
      <c r="E304" s="14" t="n"/>
      <c r="F304" s="14" t="n"/>
      <c r="G304" s="14" t="n"/>
      <c r="H304" s="14" t="n"/>
      <c r="I304" s="14" t="n"/>
      <c r="J304" s="16" t="n"/>
      <c r="K304" s="14">
        <f>Table1[[#This Row],[Complexity]]*$A$11+SUM(Table1[[#This Row],[Other 
Integration]:[OEM 
Integration]])*$C$11</f>
        <v/>
      </c>
      <c r="L304" s="7" t="n"/>
      <c r="M304" s="7" t="n"/>
    </row>
    <row r="305">
      <c r="A305" s="14" t="n">
        <v>289</v>
      </c>
      <c r="B305" s="14" t="n"/>
      <c r="C305" s="14" t="n"/>
      <c r="D305" s="14" t="n"/>
      <c r="E305" s="14" t="n"/>
      <c r="F305" s="14" t="n"/>
      <c r="G305" s="14" t="n"/>
      <c r="H305" s="14" t="n"/>
      <c r="I305" s="14" t="n"/>
      <c r="J305" s="16" t="n"/>
      <c r="K305" s="14">
        <f>Table1[[#This Row],[Complexity]]*$A$11+SUM(Table1[[#This Row],[Other 
Integration]:[OEM 
Integration]])*$C$11</f>
        <v/>
      </c>
      <c r="L305" s="7" t="n"/>
      <c r="M305" s="7" t="n"/>
    </row>
    <row r="306">
      <c r="A306" s="14" t="n">
        <v>290</v>
      </c>
      <c r="B306" s="14" t="n"/>
      <c r="C306" s="14" t="n"/>
      <c r="D306" s="14" t="n"/>
      <c r="E306" s="14" t="n"/>
      <c r="F306" s="14" t="n"/>
      <c r="G306" s="14" t="n"/>
      <c r="H306" s="14" t="n"/>
      <c r="I306" s="14" t="n"/>
      <c r="J306" s="16" t="n"/>
      <c r="K306" s="14">
        <f>Table1[[#This Row],[Complexity]]*$A$11+SUM(Table1[[#This Row],[Other 
Integration]:[OEM 
Integration]])*$C$11</f>
        <v/>
      </c>
      <c r="L306" s="7" t="n"/>
      <c r="M306" s="7" t="n"/>
    </row>
    <row r="307">
      <c r="A307" s="14" t="n">
        <v>291</v>
      </c>
      <c r="B307" s="14" t="n"/>
      <c r="C307" s="14" t="n"/>
      <c r="D307" s="14" t="n"/>
      <c r="E307" s="14" t="n"/>
      <c r="F307" s="14" t="n"/>
      <c r="G307" s="14" t="n"/>
      <c r="H307" s="14" t="n"/>
      <c r="I307" s="14" t="n"/>
      <c r="J307" s="16" t="n"/>
      <c r="K307" s="14">
        <f>Table1[[#This Row],[Complexity]]*$A$11+SUM(Table1[[#This Row],[Other 
Integration]:[OEM 
Integration]])*$C$11</f>
        <v/>
      </c>
      <c r="L307" s="7" t="n"/>
      <c r="M307" s="7" t="n"/>
    </row>
    <row r="308">
      <c r="A308" s="14" t="n">
        <v>292</v>
      </c>
      <c r="B308" s="14" t="n"/>
      <c r="C308" s="14" t="n"/>
      <c r="D308" s="14" t="n"/>
      <c r="E308" s="14" t="n"/>
      <c r="F308" s="14" t="n"/>
      <c r="G308" s="14" t="n"/>
      <c r="H308" s="14" t="n"/>
      <c r="I308" s="14" t="n"/>
      <c r="J308" s="16" t="n"/>
      <c r="K308" s="14">
        <f>Table1[[#This Row],[Complexity]]*$A$11+SUM(Table1[[#This Row],[Other 
Integration]:[OEM 
Integration]])*$C$11</f>
        <v/>
      </c>
      <c r="L308" s="7" t="n"/>
      <c r="M308" s="7" t="n"/>
    </row>
    <row r="309">
      <c r="A309" s="14" t="n">
        <v>293</v>
      </c>
      <c r="B309" s="14" t="n"/>
      <c r="C309" s="14" t="n"/>
      <c r="D309" s="14" t="n"/>
      <c r="E309" s="14" t="n"/>
      <c r="F309" s="14" t="n"/>
      <c r="G309" s="14" t="n"/>
      <c r="H309" s="14" t="n"/>
      <c r="I309" s="14" t="n"/>
      <c r="J309" s="16" t="n"/>
      <c r="K309" s="14">
        <f>Table1[[#This Row],[Complexity]]*$A$11+SUM(Table1[[#This Row],[Other 
Integration]:[OEM 
Integration]])*$C$11</f>
        <v/>
      </c>
      <c r="L309" s="7" t="n"/>
      <c r="M309" s="7" t="n"/>
    </row>
    <row r="310">
      <c r="A310" s="14" t="n">
        <v>294</v>
      </c>
      <c r="B310" s="14" t="n"/>
      <c r="C310" s="14" t="n"/>
      <c r="D310" s="14" t="n"/>
      <c r="E310" s="14" t="n"/>
      <c r="F310" s="14" t="n"/>
      <c r="G310" s="14" t="n"/>
      <c r="H310" s="14" t="n"/>
      <c r="I310" s="14" t="n"/>
      <c r="J310" s="16" t="n"/>
      <c r="K310" s="14">
        <f>Table1[[#This Row],[Complexity]]*$A$11+SUM(Table1[[#This Row],[Other 
Integration]:[OEM 
Integration]])*$C$11</f>
        <v/>
      </c>
      <c r="L310" s="7" t="n"/>
      <c r="M310" s="7" t="n"/>
    </row>
    <row r="311">
      <c r="A311" s="14" t="n">
        <v>295</v>
      </c>
      <c r="B311" s="14" t="n"/>
      <c r="C311" s="14" t="n"/>
      <c r="D311" s="14" t="n"/>
      <c r="E311" s="14" t="n"/>
      <c r="F311" s="14" t="n"/>
      <c r="G311" s="14" t="n"/>
      <c r="H311" s="14" t="n"/>
      <c r="I311" s="14" t="n"/>
      <c r="J311" s="16" t="n"/>
      <c r="K311" s="14">
        <f>Table1[[#This Row],[Complexity]]*$A$11+SUM(Table1[[#This Row],[Other 
Integration]:[OEM 
Integration]])*$C$11</f>
        <v/>
      </c>
      <c r="L311" s="7" t="n"/>
      <c r="M311" s="7" t="n"/>
    </row>
    <row r="312">
      <c r="A312" s="14" t="n">
        <v>296</v>
      </c>
      <c r="B312" s="14" t="n"/>
      <c r="C312" s="14" t="n"/>
      <c r="D312" s="14" t="n"/>
      <c r="E312" s="14" t="n"/>
      <c r="F312" s="14" t="n"/>
      <c r="G312" s="14" t="n"/>
      <c r="H312" s="14" t="n"/>
      <c r="I312" s="14" t="n"/>
      <c r="J312" s="16" t="n"/>
      <c r="K312" s="14">
        <f>Table1[[#This Row],[Complexity]]*$A$11+SUM(Table1[[#This Row],[Other 
Integration]:[OEM 
Integration]])*$C$11</f>
        <v/>
      </c>
      <c r="L312" s="7" t="n"/>
      <c r="M312" s="7" t="n"/>
    </row>
    <row r="313">
      <c r="A313" s="14" t="n">
        <v>297</v>
      </c>
      <c r="B313" s="14" t="n"/>
      <c r="C313" s="14" t="n"/>
      <c r="D313" s="14" t="n"/>
      <c r="E313" s="14" t="n"/>
      <c r="F313" s="14" t="n"/>
      <c r="G313" s="14" t="n"/>
      <c r="H313" s="14" t="n"/>
      <c r="I313" s="14" t="n"/>
      <c r="J313" s="16" t="n"/>
      <c r="K313" s="14">
        <f>Table1[[#This Row],[Complexity]]*$A$11+SUM(Table1[[#This Row],[Other 
Integration]:[OEM 
Integration]])*$C$11</f>
        <v/>
      </c>
      <c r="L313" s="7" t="n"/>
      <c r="M313" s="7" t="n"/>
    </row>
    <row r="314">
      <c r="A314" s="14" t="n">
        <v>298</v>
      </c>
      <c r="B314" s="14" t="n"/>
      <c r="C314" s="14" t="n"/>
      <c r="D314" s="14" t="n"/>
      <c r="E314" s="14" t="n"/>
      <c r="F314" s="14" t="n"/>
      <c r="G314" s="14" t="n"/>
      <c r="H314" s="14" t="n"/>
      <c r="I314" s="14" t="n"/>
      <c r="J314" s="16" t="n"/>
      <c r="K314" s="14">
        <f>Table1[[#This Row],[Complexity]]*$A$11+SUM(Table1[[#This Row],[Other 
Integration]:[OEM 
Integration]])*$C$11</f>
        <v/>
      </c>
      <c r="L314" s="7" t="n"/>
      <c r="M314" s="7" t="n"/>
    </row>
    <row r="315">
      <c r="A315" s="14" t="n">
        <v>299</v>
      </c>
      <c r="B315" s="14" t="n"/>
      <c r="C315" s="14" t="n"/>
      <c r="D315" s="14" t="n"/>
      <c r="E315" s="14" t="n"/>
      <c r="F315" s="14" t="n"/>
      <c r="G315" s="14" t="n"/>
      <c r="H315" s="14" t="n"/>
      <c r="I315" s="14" t="n"/>
      <c r="J315" s="16" t="n"/>
      <c r="K315" s="14">
        <f>Table1[[#This Row],[Complexity]]*$A$11+SUM(Table1[[#This Row],[Other 
Integration]:[OEM 
Integration]])*$C$11</f>
        <v/>
      </c>
      <c r="L315" s="7" t="n"/>
      <c r="M315" s="7" t="n"/>
    </row>
    <row r="316">
      <c r="A316" s="14" t="n">
        <v>300</v>
      </c>
      <c r="B316" s="14" t="n"/>
      <c r="C316" s="14" t="n"/>
      <c r="D316" s="14" t="n"/>
      <c r="E316" s="14" t="n"/>
      <c r="F316" s="14" t="n"/>
      <c r="G316" s="14" t="n"/>
      <c r="H316" s="14" t="n"/>
      <c r="I316" s="14" t="n"/>
      <c r="J316" s="16" t="n"/>
      <c r="K316" s="14">
        <f>Table1[[#This Row],[Complexity]]*$A$11+SUM(Table1[[#This Row],[Other 
Integration]:[OEM 
Integration]])*$C$11</f>
        <v/>
      </c>
      <c r="L316" s="7" t="n"/>
      <c r="M316" s="7" t="n"/>
    </row>
    <row r="317">
      <c r="A317" s="14" t="n">
        <v>301</v>
      </c>
      <c r="B317" s="14" t="n"/>
      <c r="C317" s="14" t="n"/>
      <c r="D317" s="14" t="n"/>
      <c r="E317" s="14" t="n"/>
      <c r="F317" s="14" t="n"/>
      <c r="G317" s="14" t="n"/>
      <c r="H317" s="14" t="n"/>
      <c r="I317" s="14" t="n"/>
      <c r="J317" s="16" t="n"/>
      <c r="K317" s="14">
        <f>Table1[[#This Row],[Complexity]]*$A$11+SUM(Table1[[#This Row],[Other 
Integration]:[OEM 
Integration]])*$C$11</f>
        <v/>
      </c>
      <c r="L317" s="7" t="n"/>
      <c r="M317" s="7" t="n"/>
    </row>
    <row r="318">
      <c r="A318" s="14" t="n">
        <v>302</v>
      </c>
      <c r="B318" s="14" t="n"/>
      <c r="C318" s="14" t="n"/>
      <c r="D318" s="14" t="n"/>
      <c r="E318" s="14" t="n"/>
      <c r="F318" s="14" t="n"/>
      <c r="G318" s="14" t="n"/>
      <c r="H318" s="14" t="n"/>
      <c r="I318" s="14" t="n"/>
      <c r="J318" s="16" t="n"/>
      <c r="K318" s="14">
        <f>Table1[[#This Row],[Complexity]]*$A$11+SUM(Table1[[#This Row],[Other 
Integration]:[OEM 
Integration]])*$C$11</f>
        <v/>
      </c>
      <c r="L318" s="7" t="n"/>
      <c r="M318" s="7" t="n"/>
    </row>
    <row r="319">
      <c r="A319" s="14" t="n">
        <v>303</v>
      </c>
      <c r="B319" s="14" t="n"/>
      <c r="C319" s="14" t="n"/>
      <c r="D319" s="14" t="n"/>
      <c r="E319" s="14" t="n"/>
      <c r="F319" s="14" t="n"/>
      <c r="G319" s="14" t="n"/>
      <c r="H319" s="14" t="n"/>
      <c r="I319" s="14" t="n"/>
      <c r="J319" s="16" t="n"/>
      <c r="K319" s="14">
        <f>Table1[[#This Row],[Complexity]]*$A$11+SUM(Table1[[#This Row],[Other 
Integration]:[OEM 
Integration]])*$C$11</f>
        <v/>
      </c>
      <c r="L319" s="7" t="n"/>
      <c r="M319" s="7" t="n"/>
    </row>
    <row r="320">
      <c r="A320" s="14" t="n">
        <v>304</v>
      </c>
      <c r="B320" s="14" t="n"/>
      <c r="C320" s="14" t="n"/>
      <c r="D320" s="14" t="n"/>
      <c r="E320" s="14" t="n"/>
      <c r="F320" s="14" t="n"/>
      <c r="G320" s="14" t="n"/>
      <c r="H320" s="14" t="n"/>
      <c r="I320" s="14" t="n"/>
      <c r="J320" s="16" t="n"/>
      <c r="K320" s="14">
        <f>Table1[[#This Row],[Complexity]]*$A$11+SUM(Table1[[#This Row],[Other 
Integration]:[OEM 
Integration]])*$C$11</f>
        <v/>
      </c>
      <c r="L320" s="7" t="n"/>
      <c r="M320" s="7" t="n"/>
    </row>
    <row r="321">
      <c r="A321" s="14" t="n">
        <v>305</v>
      </c>
      <c r="B321" s="14" t="n"/>
      <c r="C321" s="14" t="n"/>
      <c r="D321" s="14" t="n"/>
      <c r="E321" s="14" t="n"/>
      <c r="F321" s="14" t="n"/>
      <c r="G321" s="14" t="n"/>
      <c r="H321" s="14" t="n"/>
      <c r="I321" s="14" t="n"/>
      <c r="J321" s="16" t="n"/>
      <c r="K321" s="14">
        <f>Table1[[#This Row],[Complexity]]*$A$11+SUM(Table1[[#This Row],[Other 
Integration]:[OEM 
Integration]])*$C$11</f>
        <v/>
      </c>
      <c r="L321" s="7" t="n"/>
      <c r="M321" s="7" t="n"/>
    </row>
    <row r="322">
      <c r="A322" s="14" t="n">
        <v>306</v>
      </c>
      <c r="B322" s="14" t="n"/>
      <c r="C322" s="14" t="n"/>
      <c r="D322" s="14" t="n"/>
      <c r="E322" s="14" t="n"/>
      <c r="F322" s="14" t="n"/>
      <c r="G322" s="14" t="n"/>
      <c r="H322" s="14" t="n"/>
      <c r="I322" s="14" t="n"/>
      <c r="J322" s="16" t="n"/>
      <c r="K322" s="14">
        <f>Table1[[#This Row],[Complexity]]*$A$11+SUM(Table1[[#This Row],[Other 
Integration]:[OEM 
Integration]])*$C$11</f>
        <v/>
      </c>
      <c r="L322" s="7" t="n"/>
      <c r="M322" s="7" t="n"/>
    </row>
    <row r="323">
      <c r="A323" s="14" t="n">
        <v>307</v>
      </c>
      <c r="B323" s="14" t="n"/>
      <c r="C323" s="14" t="n"/>
      <c r="D323" s="14" t="n"/>
      <c r="E323" s="14" t="n"/>
      <c r="F323" s="14" t="n"/>
      <c r="G323" s="14" t="n"/>
      <c r="H323" s="14" t="n"/>
      <c r="I323" s="14" t="n"/>
      <c r="J323" s="16" t="n"/>
      <c r="K323" s="14">
        <f>Table1[[#This Row],[Complexity]]*$A$11+SUM(Table1[[#This Row],[Other 
Integration]:[OEM 
Integration]])*$C$11</f>
        <v/>
      </c>
      <c r="L323" s="7" t="n"/>
      <c r="M323" s="7" t="n"/>
    </row>
    <row r="324">
      <c r="A324" s="14" t="n">
        <v>308</v>
      </c>
      <c r="B324" s="14" t="n"/>
      <c r="C324" s="14" t="n"/>
      <c r="D324" s="14" t="n"/>
      <c r="E324" s="14" t="n"/>
      <c r="F324" s="14" t="n"/>
      <c r="G324" s="14" t="n"/>
      <c r="H324" s="14" t="n"/>
      <c r="I324" s="14" t="n"/>
      <c r="J324" s="16" t="n"/>
      <c r="K324" s="14">
        <f>Table1[[#This Row],[Complexity]]*$A$11+SUM(Table1[[#This Row],[Other 
Integration]:[OEM 
Integration]])*$C$11</f>
        <v/>
      </c>
      <c r="L324" s="7" t="n"/>
      <c r="M324" s="7" t="n"/>
    </row>
    <row r="325">
      <c r="A325" s="14" t="n">
        <v>309</v>
      </c>
      <c r="B325" s="14" t="n"/>
      <c r="C325" s="14" t="n"/>
      <c r="D325" s="14" t="n"/>
      <c r="E325" s="14" t="n"/>
      <c r="F325" s="14" t="n"/>
      <c r="G325" s="14" t="n"/>
      <c r="H325" s="14" t="n"/>
      <c r="I325" s="14" t="n"/>
      <c r="J325" s="16" t="n"/>
      <c r="K325" s="14">
        <f>Table1[[#This Row],[Complexity]]*$A$11+SUM(Table1[[#This Row],[Other 
Integration]:[OEM 
Integration]])*$C$11</f>
        <v/>
      </c>
      <c r="L325" s="7" t="n"/>
      <c r="M325" s="7" t="n"/>
    </row>
    <row r="326">
      <c r="A326" s="14" t="n">
        <v>310</v>
      </c>
      <c r="B326" s="14" t="n"/>
      <c r="C326" s="14" t="n"/>
      <c r="D326" s="14" t="n"/>
      <c r="E326" s="14" t="n"/>
      <c r="F326" s="14" t="n"/>
      <c r="G326" s="14" t="n"/>
      <c r="H326" s="14" t="n"/>
      <c r="I326" s="14" t="n"/>
      <c r="J326" s="16" t="n"/>
      <c r="K326" s="14">
        <f>Table1[[#This Row],[Complexity]]*$A$11+SUM(Table1[[#This Row],[Other 
Integration]:[OEM 
Integration]])*$C$11</f>
        <v/>
      </c>
      <c r="L326" s="7" t="n"/>
      <c r="M326" s="7" t="n"/>
    </row>
    <row r="327">
      <c r="A327" s="14" t="n">
        <v>311</v>
      </c>
      <c r="B327" s="14" t="n"/>
      <c r="C327" s="14" t="n"/>
      <c r="D327" s="14" t="n"/>
      <c r="E327" s="14" t="n"/>
      <c r="F327" s="14" t="n"/>
      <c r="G327" s="14" t="n"/>
      <c r="H327" s="14" t="n"/>
      <c r="I327" s="14" t="n"/>
      <c r="J327" s="16" t="n"/>
      <c r="K327" s="14">
        <f>Table1[[#This Row],[Complexity]]*$A$11+SUM(Table1[[#This Row],[Other 
Integration]:[OEM 
Integration]])*$C$11</f>
        <v/>
      </c>
      <c r="L327" s="7" t="n"/>
      <c r="M327" s="7" t="n"/>
    </row>
    <row r="328">
      <c r="A328" s="14" t="n">
        <v>312</v>
      </c>
      <c r="B328" s="14" t="n"/>
      <c r="C328" s="14" t="n"/>
      <c r="D328" s="14" t="n"/>
      <c r="E328" s="14" t="n"/>
      <c r="F328" s="14" t="n"/>
      <c r="G328" s="14" t="n"/>
      <c r="H328" s="14" t="n"/>
      <c r="I328" s="14" t="n"/>
      <c r="J328" s="16" t="n"/>
      <c r="K328" s="14">
        <f>Table1[[#This Row],[Complexity]]*$A$11+SUM(Table1[[#This Row],[Other 
Integration]:[OEM 
Integration]])*$C$11</f>
        <v/>
      </c>
      <c r="L328" s="7" t="n"/>
      <c r="M328" s="7" t="n"/>
    </row>
    <row r="329">
      <c r="A329" s="14" t="n">
        <v>313</v>
      </c>
      <c r="B329" s="14" t="n"/>
      <c r="C329" s="14" t="n"/>
      <c r="D329" s="14" t="n"/>
      <c r="E329" s="14" t="n"/>
      <c r="F329" s="14" t="n"/>
      <c r="G329" s="14" t="n"/>
      <c r="H329" s="14" t="n"/>
      <c r="I329" s="14" t="n"/>
      <c r="J329" s="16" t="n"/>
      <c r="K329" s="14">
        <f>Table1[[#This Row],[Complexity]]*$A$11+SUM(Table1[[#This Row],[Other 
Integration]:[OEM 
Integration]])*$C$11</f>
        <v/>
      </c>
      <c r="L329" s="7" t="n"/>
      <c r="M329" s="7" t="n"/>
    </row>
    <row r="330">
      <c r="A330" s="14" t="n">
        <v>314</v>
      </c>
      <c r="B330" s="14" t="n"/>
      <c r="C330" s="14" t="n"/>
      <c r="D330" s="14" t="n"/>
      <c r="E330" s="14" t="n"/>
      <c r="F330" s="14" t="n"/>
      <c r="G330" s="14" t="n"/>
      <c r="H330" s="14" t="n"/>
      <c r="I330" s="14" t="n"/>
      <c r="J330" s="16" t="n"/>
      <c r="K330" s="14">
        <f>Table1[[#This Row],[Complexity]]*$A$11+SUM(Table1[[#This Row],[Other 
Integration]:[OEM 
Integration]])*$C$11</f>
        <v/>
      </c>
      <c r="L330" s="7" t="n"/>
      <c r="M330" s="7" t="n"/>
    </row>
    <row r="331">
      <c r="A331" s="14" t="n">
        <v>315</v>
      </c>
      <c r="B331" s="14" t="n"/>
      <c r="C331" s="14" t="n"/>
      <c r="D331" s="14" t="n"/>
      <c r="E331" s="14" t="n"/>
      <c r="F331" s="14" t="n"/>
      <c r="G331" s="14" t="n"/>
      <c r="H331" s="14" t="n"/>
      <c r="I331" s="14" t="n"/>
      <c r="J331" s="16" t="n"/>
      <c r="K331" s="14">
        <f>Table1[[#This Row],[Complexity]]*$A$11+SUM(Table1[[#This Row],[Other 
Integration]:[OEM 
Integration]])*$C$11</f>
        <v/>
      </c>
      <c r="L331" s="7" t="n"/>
      <c r="M331" s="7" t="n"/>
    </row>
    <row r="332">
      <c r="A332" s="14" t="n">
        <v>316</v>
      </c>
      <c r="B332" s="14" t="n"/>
      <c r="C332" s="14" t="n"/>
      <c r="D332" s="14" t="n"/>
      <c r="E332" s="14" t="n"/>
      <c r="F332" s="14" t="n"/>
      <c r="G332" s="14" t="n"/>
      <c r="H332" s="14" t="n"/>
      <c r="I332" s="14" t="n"/>
      <c r="J332" s="16" t="n"/>
      <c r="K332" s="14">
        <f>Table1[[#This Row],[Complexity]]*$A$11+SUM(Table1[[#This Row],[Other 
Integration]:[OEM 
Integration]])*$C$11</f>
        <v/>
      </c>
      <c r="L332" s="7" t="n"/>
      <c r="M332" s="7" t="n"/>
    </row>
    <row r="333">
      <c r="A333" s="14" t="n">
        <v>317</v>
      </c>
      <c r="B333" s="14" t="n"/>
      <c r="C333" s="14" t="n"/>
      <c r="D333" s="14" t="n"/>
      <c r="E333" s="14" t="n"/>
      <c r="F333" s="14" t="n"/>
      <c r="G333" s="14" t="n"/>
      <c r="H333" s="14" t="n"/>
      <c r="I333" s="14" t="n"/>
      <c r="J333" s="16" t="n"/>
      <c r="K333" s="14">
        <f>Table1[[#This Row],[Complexity]]*$A$11+SUM(Table1[[#This Row],[Other 
Integration]:[OEM 
Integration]])*$C$11</f>
        <v/>
      </c>
      <c r="L333" s="7" t="n"/>
      <c r="M333" s="7" t="n"/>
    </row>
    <row r="334">
      <c r="A334" s="14" t="n">
        <v>318</v>
      </c>
      <c r="B334" s="14" t="n"/>
      <c r="C334" s="14" t="n"/>
      <c r="D334" s="14" t="n"/>
      <c r="E334" s="14" t="n"/>
      <c r="F334" s="14" t="n"/>
      <c r="G334" s="14" t="n"/>
      <c r="H334" s="14" t="n"/>
      <c r="I334" s="14" t="n"/>
      <c r="J334" s="16" t="n"/>
      <c r="K334" s="14">
        <f>Table1[[#This Row],[Complexity]]*$A$11+SUM(Table1[[#This Row],[Other 
Integration]:[OEM 
Integration]])*$C$11</f>
        <v/>
      </c>
      <c r="L334" s="7" t="n"/>
      <c r="M334" s="7" t="n"/>
    </row>
    <row r="335">
      <c r="A335" s="14" t="n">
        <v>319</v>
      </c>
      <c r="B335" s="14" t="n"/>
      <c r="C335" s="14" t="n"/>
      <c r="D335" s="14" t="n"/>
      <c r="E335" s="14" t="n"/>
      <c r="F335" s="14" t="n"/>
      <c r="G335" s="14" t="n"/>
      <c r="H335" s="14" t="n"/>
      <c r="I335" s="14" t="n"/>
      <c r="J335" s="16" t="n"/>
      <c r="K335" s="14">
        <f>Table1[[#This Row],[Complexity]]*$A$11+SUM(Table1[[#This Row],[Other 
Integration]:[OEM 
Integration]])*$C$11</f>
        <v/>
      </c>
      <c r="L335" s="7" t="n"/>
      <c r="M335" s="7" t="n"/>
    </row>
    <row r="336">
      <c r="A336" s="14" t="n">
        <v>320</v>
      </c>
      <c r="B336" s="14" t="n"/>
      <c r="C336" s="14" t="n"/>
      <c r="D336" s="14" t="n"/>
      <c r="E336" s="14" t="n"/>
      <c r="F336" s="14" t="n"/>
      <c r="G336" s="14" t="n"/>
      <c r="H336" s="14" t="n"/>
      <c r="I336" s="14" t="n"/>
      <c r="J336" s="16" t="n"/>
      <c r="K336" s="14">
        <f>Table1[[#This Row],[Complexity]]*$A$11+SUM(Table1[[#This Row],[Other 
Integration]:[OEM 
Integration]])*$C$11</f>
        <v/>
      </c>
      <c r="L336" s="7" t="n"/>
      <c r="M336" s="7" t="n"/>
    </row>
    <row r="337">
      <c r="A337" s="14" t="n">
        <v>321</v>
      </c>
      <c r="B337" s="14" t="n"/>
      <c r="C337" s="14" t="n"/>
      <c r="D337" s="14" t="n"/>
      <c r="E337" s="14" t="n"/>
      <c r="F337" s="14" t="n"/>
      <c r="G337" s="14" t="n"/>
      <c r="H337" s="14" t="n"/>
      <c r="I337" s="14" t="n"/>
      <c r="J337" s="16" t="n"/>
      <c r="K337" s="14">
        <f>Table1[[#This Row],[Complexity]]*$A$11+SUM(Table1[[#This Row],[Other 
Integration]:[OEM 
Integration]])*$C$11</f>
        <v/>
      </c>
      <c r="L337" s="7" t="n"/>
      <c r="M337" s="7" t="n"/>
    </row>
    <row r="338">
      <c r="A338" s="14" t="n">
        <v>322</v>
      </c>
      <c r="B338" s="14" t="n"/>
      <c r="C338" s="14" t="n"/>
      <c r="D338" s="14" t="n"/>
      <c r="E338" s="14" t="n"/>
      <c r="F338" s="14" t="n"/>
      <c r="G338" s="14" t="n"/>
      <c r="H338" s="14" t="n"/>
      <c r="I338" s="14" t="n"/>
      <c r="J338" s="16" t="n"/>
      <c r="K338" s="14">
        <f>Table1[[#This Row],[Complexity]]*$A$11+SUM(Table1[[#This Row],[Other 
Integration]:[OEM 
Integration]])*$C$11</f>
        <v/>
      </c>
      <c r="L338" s="7" t="n"/>
      <c r="M338" s="7" t="n"/>
    </row>
    <row r="339">
      <c r="A339" s="14" t="n">
        <v>323</v>
      </c>
      <c r="B339" s="14" t="n"/>
      <c r="C339" s="14" t="n"/>
      <c r="D339" s="14" t="n"/>
      <c r="E339" s="14" t="n"/>
      <c r="F339" s="14" t="n"/>
      <c r="G339" s="14" t="n"/>
      <c r="H339" s="14" t="n"/>
      <c r="I339" s="14" t="n"/>
      <c r="J339" s="16" t="n"/>
      <c r="K339" s="14">
        <f>Table1[[#This Row],[Complexity]]*$A$11+SUM(Table1[[#This Row],[Other 
Integration]:[OEM 
Integration]])*$C$11</f>
        <v/>
      </c>
      <c r="L339" s="7" t="n"/>
      <c r="M339" s="7" t="n"/>
    </row>
    <row r="340">
      <c r="A340" s="14" t="n">
        <v>324</v>
      </c>
      <c r="B340" s="14" t="n"/>
      <c r="C340" s="14" t="n"/>
      <c r="D340" s="14" t="n"/>
      <c r="E340" s="14" t="n"/>
      <c r="F340" s="14" t="n"/>
      <c r="G340" s="14" t="n"/>
      <c r="H340" s="14" t="n"/>
      <c r="I340" s="14" t="n"/>
      <c r="J340" s="16" t="n"/>
      <c r="K340" s="14">
        <f>Table1[[#This Row],[Complexity]]*$A$11+SUM(Table1[[#This Row],[Other 
Integration]:[OEM 
Integration]])*$C$11</f>
        <v/>
      </c>
      <c r="L340" s="7" t="n"/>
      <c r="M340" s="7" t="n"/>
    </row>
    <row r="341">
      <c r="A341" s="14" t="n">
        <v>325</v>
      </c>
      <c r="B341" s="14" t="n"/>
      <c r="C341" s="14" t="n"/>
      <c r="D341" s="14" t="n"/>
      <c r="E341" s="14" t="n"/>
      <c r="F341" s="14" t="n"/>
      <c r="G341" s="14" t="n"/>
      <c r="H341" s="14" t="n"/>
      <c r="I341" s="14" t="n"/>
      <c r="J341" s="16" t="n"/>
      <c r="K341" s="14">
        <f>Table1[[#This Row],[Complexity]]*$A$11+SUM(Table1[[#This Row],[Other 
Integration]:[OEM 
Integration]])*$C$11</f>
        <v/>
      </c>
      <c r="L341" s="7" t="n"/>
      <c r="M341" s="7" t="n"/>
    </row>
    <row r="342">
      <c r="A342" s="14" t="n">
        <v>326</v>
      </c>
      <c r="B342" s="14" t="n"/>
      <c r="C342" s="14" t="n"/>
      <c r="D342" s="14" t="n"/>
      <c r="E342" s="14" t="n"/>
      <c r="F342" s="14" t="n"/>
      <c r="G342" s="14" t="n"/>
      <c r="H342" s="14" t="n"/>
      <c r="I342" s="14" t="n"/>
      <c r="J342" s="16" t="n"/>
      <c r="K342" s="14">
        <f>Table1[[#This Row],[Complexity]]*$A$11+SUM(Table1[[#This Row],[Other 
Integration]:[OEM 
Integration]])*$C$11</f>
        <v/>
      </c>
      <c r="L342" s="7" t="n"/>
      <c r="M342" s="7" t="n"/>
    </row>
    <row r="343">
      <c r="A343" s="14" t="n">
        <v>327</v>
      </c>
      <c r="B343" s="14" t="n"/>
      <c r="C343" s="14" t="n"/>
      <c r="D343" s="14" t="n"/>
      <c r="E343" s="14" t="n"/>
      <c r="F343" s="14" t="n"/>
      <c r="G343" s="14" t="n"/>
      <c r="H343" s="14" t="n"/>
      <c r="I343" s="14" t="n"/>
      <c r="J343" s="16" t="n"/>
      <c r="K343" s="14">
        <f>Table1[[#This Row],[Complexity]]*$A$11+SUM(Table1[[#This Row],[Other 
Integration]:[OEM 
Integration]])*$C$11</f>
        <v/>
      </c>
      <c r="L343" s="7" t="n"/>
      <c r="M343" s="7" t="n"/>
    </row>
    <row r="344">
      <c r="A344" s="14" t="n">
        <v>328</v>
      </c>
      <c r="B344" s="14" t="n"/>
      <c r="C344" s="14" t="n"/>
      <c r="D344" s="14" t="n"/>
      <c r="E344" s="14" t="n"/>
      <c r="F344" s="14" t="n"/>
      <c r="G344" s="14" t="n"/>
      <c r="H344" s="14" t="n"/>
      <c r="I344" s="14" t="n"/>
      <c r="J344" s="16" t="n"/>
      <c r="K344" s="14">
        <f>Table1[[#This Row],[Complexity]]*$A$11+SUM(Table1[[#This Row],[Other 
Integration]:[OEM 
Integration]])*$C$11</f>
        <v/>
      </c>
      <c r="L344" s="7" t="n"/>
      <c r="M344" s="7" t="n"/>
    </row>
    <row r="345">
      <c r="A345" s="14" t="n">
        <v>329</v>
      </c>
      <c r="B345" s="14" t="n"/>
      <c r="C345" s="14" t="n"/>
      <c r="D345" s="14" t="n"/>
      <c r="E345" s="14" t="n"/>
      <c r="F345" s="14" t="n"/>
      <c r="G345" s="14" t="n"/>
      <c r="H345" s="14" t="n"/>
      <c r="I345" s="14" t="n"/>
      <c r="J345" s="16" t="n"/>
      <c r="K345" s="14">
        <f>Table1[[#This Row],[Complexity]]*$A$11+SUM(Table1[[#This Row],[Other 
Integration]:[OEM 
Integration]])*$C$11</f>
        <v/>
      </c>
      <c r="L345" s="7" t="n"/>
      <c r="M345" s="7" t="n"/>
    </row>
    <row r="346">
      <c r="A346" s="14" t="n">
        <v>330</v>
      </c>
      <c r="B346" s="14" t="n"/>
      <c r="C346" s="14" t="n"/>
      <c r="D346" s="14" t="n"/>
      <c r="E346" s="14" t="n"/>
      <c r="F346" s="14" t="n"/>
      <c r="G346" s="14" t="n"/>
      <c r="H346" s="14" t="n"/>
      <c r="I346" s="14" t="n"/>
      <c r="J346" s="16" t="n"/>
      <c r="K346" s="14">
        <f>Table1[[#This Row],[Complexity]]*$A$11+SUM(Table1[[#This Row],[Other 
Integration]:[OEM 
Integration]])*$C$11</f>
        <v/>
      </c>
      <c r="L346" s="7" t="n"/>
      <c r="M346" s="7" t="n"/>
    </row>
    <row r="347">
      <c r="A347" s="14" t="n">
        <v>331</v>
      </c>
      <c r="B347" s="14" t="n"/>
      <c r="C347" s="14" t="n"/>
      <c r="D347" s="14" t="n"/>
      <c r="E347" s="14" t="n"/>
      <c r="F347" s="14" t="n"/>
      <c r="G347" s="14" t="n"/>
      <c r="H347" s="14" t="n"/>
      <c r="I347" s="14" t="n"/>
      <c r="J347" s="16" t="n"/>
      <c r="K347" s="14">
        <f>Table1[[#This Row],[Complexity]]*$A$11+SUM(Table1[[#This Row],[Other 
Integration]:[OEM 
Integration]])*$C$11</f>
        <v/>
      </c>
      <c r="L347" s="7" t="n"/>
      <c r="M347" s="7" t="n"/>
    </row>
    <row r="348">
      <c r="A348" s="14" t="n">
        <v>332</v>
      </c>
      <c r="B348" s="14" t="n"/>
      <c r="C348" s="14" t="n"/>
      <c r="D348" s="14" t="n"/>
      <c r="E348" s="14" t="n"/>
      <c r="F348" s="14" t="n"/>
      <c r="G348" s="14" t="n"/>
      <c r="H348" s="14" t="n"/>
      <c r="I348" s="14" t="n"/>
      <c r="J348" s="16" t="n"/>
      <c r="K348" s="14">
        <f>Table1[[#This Row],[Complexity]]*$A$11+SUM(Table1[[#This Row],[Other 
Integration]:[OEM 
Integration]])*$C$11</f>
        <v/>
      </c>
      <c r="L348" s="7" t="n"/>
      <c r="M348" s="7" t="n"/>
    </row>
    <row r="349">
      <c r="A349" s="14" t="n">
        <v>333</v>
      </c>
      <c r="B349" s="14" t="n"/>
      <c r="C349" s="14" t="n"/>
      <c r="D349" s="14" t="n"/>
      <c r="E349" s="14" t="n"/>
      <c r="F349" s="14" t="n"/>
      <c r="G349" s="14" t="n"/>
      <c r="H349" s="14" t="n"/>
      <c r="I349" s="14" t="n"/>
      <c r="J349" s="16" t="n"/>
      <c r="K349" s="14">
        <f>Table1[[#This Row],[Complexity]]*$A$11+SUM(Table1[[#This Row],[Other 
Integration]:[OEM 
Integration]])*$C$11</f>
        <v/>
      </c>
      <c r="L349" s="7" t="n"/>
      <c r="M349" s="7" t="n"/>
    </row>
    <row r="350">
      <c r="A350" s="14" t="n">
        <v>334</v>
      </c>
      <c r="B350" s="14" t="n"/>
      <c r="C350" s="14" t="n"/>
      <c r="D350" s="14" t="n"/>
      <c r="E350" s="14" t="n"/>
      <c r="F350" s="14" t="n"/>
      <c r="G350" s="14" t="n"/>
      <c r="H350" s="14" t="n"/>
      <c r="I350" s="14" t="n"/>
      <c r="J350" s="16" t="n"/>
      <c r="K350" s="14">
        <f>Table1[[#This Row],[Complexity]]*$A$11+SUM(Table1[[#This Row],[Other 
Integration]:[OEM 
Integration]])*$C$11</f>
        <v/>
      </c>
      <c r="L350" s="7" t="n"/>
      <c r="M350" s="7" t="n"/>
    </row>
    <row r="351">
      <c r="A351" s="14" t="n">
        <v>335</v>
      </c>
      <c r="B351" s="14" t="n"/>
      <c r="C351" s="14" t="n"/>
      <c r="D351" s="14" t="n"/>
      <c r="E351" s="14" t="n"/>
      <c r="F351" s="14" t="n"/>
      <c r="G351" s="14" t="n"/>
      <c r="H351" s="14" t="n"/>
      <c r="I351" s="14" t="n"/>
      <c r="J351" s="16" t="n"/>
      <c r="K351" s="14">
        <f>Table1[[#This Row],[Complexity]]*$A$11+SUM(Table1[[#This Row],[Other 
Integration]:[OEM 
Integration]])*$C$11</f>
        <v/>
      </c>
      <c r="L351" s="7" t="n"/>
      <c r="M351" s="7" t="n"/>
    </row>
    <row r="352">
      <c r="A352" s="14" t="n">
        <v>336</v>
      </c>
      <c r="B352" s="14" t="n"/>
      <c r="C352" s="14" t="n"/>
      <c r="D352" s="14" t="n"/>
      <c r="E352" s="14" t="n"/>
      <c r="F352" s="14" t="n"/>
      <c r="G352" s="14" t="n"/>
      <c r="H352" s="14" t="n"/>
      <c r="I352" s="14" t="n"/>
      <c r="J352" s="16" t="n"/>
      <c r="K352" s="14">
        <f>Table1[[#This Row],[Complexity]]*$A$11+SUM(Table1[[#This Row],[Other 
Integration]:[OEM 
Integration]])*$C$11</f>
        <v/>
      </c>
      <c r="L352" s="7" t="n"/>
      <c r="M352" s="7" t="n"/>
    </row>
    <row r="353">
      <c r="A353" s="14" t="n">
        <v>337</v>
      </c>
      <c r="B353" s="14" t="n"/>
      <c r="C353" s="14" t="n"/>
      <c r="D353" s="14" t="n"/>
      <c r="E353" s="14" t="n"/>
      <c r="F353" s="14" t="n"/>
      <c r="G353" s="14" t="n"/>
      <c r="H353" s="14" t="n"/>
      <c r="I353" s="14" t="n"/>
      <c r="J353" s="16" t="n"/>
      <c r="K353" s="14">
        <f>Table1[[#This Row],[Complexity]]*$A$11+SUM(Table1[[#This Row],[Other 
Integration]:[OEM 
Integration]])*$C$11</f>
        <v/>
      </c>
      <c r="L353" s="7" t="n"/>
      <c r="M353" s="7" t="n"/>
    </row>
    <row r="354">
      <c r="A354" s="14" t="n">
        <v>338</v>
      </c>
      <c r="B354" s="14" t="n"/>
      <c r="C354" s="14" t="n"/>
      <c r="D354" s="14" t="n"/>
      <c r="E354" s="14" t="n"/>
      <c r="F354" s="14" t="n"/>
      <c r="G354" s="14" t="n"/>
      <c r="H354" s="14" t="n"/>
      <c r="I354" s="14" t="n"/>
      <c r="J354" s="16" t="n"/>
      <c r="K354" s="14">
        <f>Table1[[#This Row],[Complexity]]*$A$11+SUM(Table1[[#This Row],[Other 
Integration]:[OEM 
Integration]])*$C$11</f>
        <v/>
      </c>
      <c r="L354" s="7" t="n"/>
      <c r="M354" s="7" t="n"/>
    </row>
    <row r="355">
      <c r="A355" s="14" t="n">
        <v>339</v>
      </c>
      <c r="B355" s="14" t="n"/>
      <c r="C355" s="14" t="n"/>
      <c r="D355" s="14" t="n"/>
      <c r="E355" s="14" t="n"/>
      <c r="F355" s="14" t="n"/>
      <c r="G355" s="14" t="n"/>
      <c r="H355" s="14" t="n"/>
      <c r="I355" s="14" t="n"/>
      <c r="J355" s="16" t="n"/>
      <c r="K355" s="14">
        <f>Table1[[#This Row],[Complexity]]*$A$11+SUM(Table1[[#This Row],[Other 
Integration]:[OEM 
Integration]])*$C$11</f>
        <v/>
      </c>
      <c r="L355" s="7" t="n"/>
      <c r="M355" s="7" t="n"/>
    </row>
    <row r="356">
      <c r="A356" s="14" t="n">
        <v>340</v>
      </c>
      <c r="B356" s="14" t="n"/>
      <c r="C356" s="14" t="n"/>
      <c r="D356" s="14" t="n"/>
      <c r="E356" s="14" t="n"/>
      <c r="F356" s="14" t="n"/>
      <c r="G356" s="14" t="n"/>
      <c r="H356" s="14" t="n"/>
      <c r="I356" s="14" t="n"/>
      <c r="J356" s="16" t="n"/>
      <c r="K356" s="14">
        <f>Table1[[#This Row],[Complexity]]*$A$11+SUM(Table1[[#This Row],[Other 
Integration]:[OEM 
Integration]])*$C$11</f>
        <v/>
      </c>
      <c r="L356" s="7" t="n"/>
      <c r="M356" s="7" t="n"/>
    </row>
    <row r="357">
      <c r="A357" s="14" t="n">
        <v>341</v>
      </c>
      <c r="B357" s="14" t="n"/>
      <c r="C357" s="14" t="n"/>
      <c r="D357" s="14" t="n"/>
      <c r="E357" s="14" t="n"/>
      <c r="F357" s="14" t="n"/>
      <c r="G357" s="14" t="n"/>
      <c r="H357" s="14" t="n"/>
      <c r="I357" s="14" t="n"/>
      <c r="J357" s="16" t="n"/>
      <c r="K357" s="14">
        <f>Table1[[#This Row],[Complexity]]*$A$11+SUM(Table1[[#This Row],[Other 
Integration]:[OEM 
Integration]])*$C$11</f>
        <v/>
      </c>
      <c r="L357" s="7" t="n"/>
      <c r="M357" s="7" t="n"/>
    </row>
    <row r="358">
      <c r="A358" s="14" t="n">
        <v>342</v>
      </c>
      <c r="B358" s="14" t="n"/>
      <c r="C358" s="14" t="n"/>
      <c r="D358" s="14" t="n"/>
      <c r="E358" s="14" t="n"/>
      <c r="F358" s="14" t="n"/>
      <c r="G358" s="14" t="n"/>
      <c r="H358" s="14" t="n"/>
      <c r="I358" s="14" t="n"/>
      <c r="J358" s="16" t="n"/>
      <c r="K358" s="14">
        <f>Table1[[#This Row],[Complexity]]*$A$11+SUM(Table1[[#This Row],[Other 
Integration]:[OEM 
Integration]])*$C$11</f>
        <v/>
      </c>
      <c r="L358" s="7" t="n"/>
      <c r="M358" s="7" t="n"/>
    </row>
    <row r="359">
      <c r="A359" s="14" t="n">
        <v>343</v>
      </c>
      <c r="B359" s="14" t="n"/>
      <c r="C359" s="14" t="n"/>
      <c r="D359" s="14" t="n"/>
      <c r="E359" s="14" t="n"/>
      <c r="F359" s="14" t="n"/>
      <c r="G359" s="14" t="n"/>
      <c r="H359" s="14" t="n"/>
      <c r="I359" s="14" t="n"/>
      <c r="J359" s="16" t="n"/>
      <c r="K359" s="14">
        <f>Table1[[#This Row],[Complexity]]*$A$11+SUM(Table1[[#This Row],[Other 
Integration]:[OEM 
Integration]])*$C$11</f>
        <v/>
      </c>
      <c r="L359" s="7" t="n"/>
      <c r="M359" s="7" t="n"/>
    </row>
    <row r="360">
      <c r="A360" s="14" t="n">
        <v>344</v>
      </c>
      <c r="B360" s="14" t="n"/>
      <c r="C360" s="14" t="n"/>
      <c r="D360" s="14" t="n"/>
      <c r="E360" s="14" t="n"/>
      <c r="F360" s="14" t="n"/>
      <c r="G360" s="14" t="n"/>
      <c r="H360" s="14" t="n"/>
      <c r="I360" s="14" t="n"/>
      <c r="J360" s="16" t="n"/>
      <c r="K360" s="14">
        <f>Table1[[#This Row],[Complexity]]*$A$11+SUM(Table1[[#This Row],[Other 
Integration]:[OEM 
Integration]])*$C$11</f>
        <v/>
      </c>
      <c r="L360" s="7" t="n"/>
      <c r="M360" s="7" t="n"/>
    </row>
    <row r="361">
      <c r="A361" s="14" t="n">
        <v>345</v>
      </c>
      <c r="B361" s="14" t="n"/>
      <c r="C361" s="14" t="n"/>
      <c r="D361" s="14" t="n"/>
      <c r="E361" s="14" t="n"/>
      <c r="F361" s="14" t="n"/>
      <c r="G361" s="14" t="n"/>
      <c r="H361" s="14" t="n"/>
      <c r="I361" s="14" t="n"/>
      <c r="J361" s="16" t="n"/>
      <c r="K361" s="14">
        <f>Table1[[#This Row],[Complexity]]*$A$11+SUM(Table1[[#This Row],[Other 
Integration]:[OEM 
Integration]])*$C$11</f>
        <v/>
      </c>
      <c r="L361" s="7" t="n"/>
      <c r="M361" s="7" t="n"/>
    </row>
    <row r="362">
      <c r="A362" s="14" t="n">
        <v>346</v>
      </c>
      <c r="B362" s="14" t="n"/>
      <c r="C362" s="14" t="n"/>
      <c r="D362" s="14" t="n"/>
      <c r="E362" s="14" t="n"/>
      <c r="F362" s="14" t="n"/>
      <c r="G362" s="14" t="n"/>
      <c r="H362" s="14" t="n"/>
      <c r="I362" s="14" t="n"/>
      <c r="J362" s="16" t="n"/>
      <c r="K362" s="14">
        <f>Table1[[#This Row],[Complexity]]*$A$11+SUM(Table1[[#This Row],[Other 
Integration]:[OEM 
Integration]])*$C$11</f>
        <v/>
      </c>
      <c r="L362" s="7" t="n"/>
      <c r="M362" s="7" t="n"/>
    </row>
    <row r="363">
      <c r="A363" s="14" t="n">
        <v>347</v>
      </c>
      <c r="B363" s="14" t="n"/>
      <c r="C363" s="14" t="n"/>
      <c r="D363" s="14" t="n"/>
      <c r="E363" s="14" t="n"/>
      <c r="F363" s="14" t="n"/>
      <c r="G363" s="14" t="n"/>
      <c r="H363" s="14" t="n"/>
      <c r="I363" s="14" t="n"/>
      <c r="J363" s="16" t="n"/>
      <c r="K363" s="14">
        <f>Table1[[#This Row],[Complexity]]*$A$11+SUM(Table1[[#This Row],[Other 
Integration]:[OEM 
Integration]])*$C$11</f>
        <v/>
      </c>
      <c r="L363" s="7" t="n"/>
      <c r="M363" s="7" t="n"/>
    </row>
    <row r="364">
      <c r="A364" s="14" t="n">
        <v>348</v>
      </c>
      <c r="B364" s="14" t="n"/>
      <c r="C364" s="14" t="n"/>
      <c r="D364" s="14" t="n"/>
      <c r="E364" s="14" t="n"/>
      <c r="F364" s="14" t="n"/>
      <c r="G364" s="14" t="n"/>
      <c r="H364" s="14" t="n"/>
      <c r="I364" s="14" t="n"/>
      <c r="J364" s="16" t="n"/>
      <c r="K364" s="14">
        <f>Table1[[#This Row],[Complexity]]*$A$11+SUM(Table1[[#This Row],[Other 
Integration]:[OEM 
Integration]])*$C$11</f>
        <v/>
      </c>
      <c r="L364" s="7" t="n"/>
      <c r="M364" s="7" t="n"/>
    </row>
    <row r="365">
      <c r="A365" s="14" t="n">
        <v>349</v>
      </c>
      <c r="B365" s="14" t="n"/>
      <c r="C365" s="14" t="n"/>
      <c r="D365" s="14" t="n"/>
      <c r="E365" s="14" t="n"/>
      <c r="F365" s="14" t="n"/>
      <c r="G365" s="14" t="n"/>
      <c r="H365" s="14" t="n"/>
      <c r="I365" s="14" t="n"/>
      <c r="J365" s="16" t="n"/>
      <c r="K365" s="14">
        <f>Table1[[#This Row],[Complexity]]*$A$11+SUM(Table1[[#This Row],[Other 
Integration]:[OEM 
Integration]])*$C$11</f>
        <v/>
      </c>
      <c r="L365" s="7" t="n"/>
      <c r="M365" s="7" t="n"/>
    </row>
    <row r="366">
      <c r="A366" s="14" t="n">
        <v>350</v>
      </c>
      <c r="B366" s="14" t="n"/>
      <c r="C366" s="14" t="n"/>
      <c r="D366" s="14" t="n"/>
      <c r="E366" s="14" t="n"/>
      <c r="F366" s="14" t="n"/>
      <c r="G366" s="14" t="n"/>
      <c r="H366" s="14" t="n"/>
      <c r="I366" s="14" t="n"/>
      <c r="J366" s="16" t="n"/>
      <c r="K366" s="14">
        <f>Table1[[#This Row],[Complexity]]*$A$11+SUM(Table1[[#This Row],[Other 
Integration]:[OEM 
Integration]])*$C$11</f>
        <v/>
      </c>
      <c r="L366" s="7" t="n"/>
      <c r="M366" s="7" t="n"/>
    </row>
    <row r="367">
      <c r="A367" s="14" t="n">
        <v>351</v>
      </c>
      <c r="B367" s="14" t="n"/>
      <c r="C367" s="14" t="n"/>
      <c r="D367" s="14" t="n"/>
      <c r="E367" s="14" t="n"/>
      <c r="F367" s="14" t="n"/>
      <c r="G367" s="14" t="n"/>
      <c r="H367" s="14" t="n"/>
      <c r="I367" s="14" t="n"/>
      <c r="J367" s="16" t="n"/>
      <c r="K367" s="14">
        <f>Table1[[#This Row],[Complexity]]*$A$11+SUM(Table1[[#This Row],[Other 
Integration]:[OEM 
Integration]])*$C$11</f>
        <v/>
      </c>
      <c r="L367" s="7" t="n"/>
      <c r="M367" s="7" t="n"/>
    </row>
    <row r="368">
      <c r="A368" s="14" t="n">
        <v>352</v>
      </c>
      <c r="B368" s="14" t="n"/>
      <c r="C368" s="14" t="n"/>
      <c r="D368" s="14" t="n"/>
      <c r="E368" s="14" t="n"/>
      <c r="F368" s="14" t="n"/>
      <c r="G368" s="14" t="n"/>
      <c r="H368" s="14" t="n"/>
      <c r="I368" s="14" t="n"/>
      <c r="J368" s="16" t="n"/>
      <c r="K368" s="14">
        <f>Table1[[#This Row],[Complexity]]*$A$11+SUM(Table1[[#This Row],[Other 
Integration]:[OEM 
Integration]])*$C$11</f>
        <v/>
      </c>
      <c r="L368" s="7" t="n"/>
      <c r="M368" s="7" t="n"/>
    </row>
    <row r="369">
      <c r="A369" s="14" t="n">
        <v>353</v>
      </c>
      <c r="B369" s="14" t="n"/>
      <c r="C369" s="14" t="n"/>
      <c r="D369" s="14" t="n"/>
      <c r="E369" s="14" t="n"/>
      <c r="F369" s="14" t="n"/>
      <c r="G369" s="14" t="n"/>
      <c r="H369" s="14" t="n"/>
      <c r="I369" s="14" t="n"/>
      <c r="J369" s="16" t="n"/>
      <c r="K369" s="14">
        <f>Table1[[#This Row],[Complexity]]*$A$11+SUM(Table1[[#This Row],[Other 
Integration]:[OEM 
Integration]])*$C$11</f>
        <v/>
      </c>
      <c r="L369" s="7" t="n"/>
      <c r="M369" s="7" t="n"/>
    </row>
    <row r="370">
      <c r="A370" s="14" t="n">
        <v>354</v>
      </c>
      <c r="B370" s="14" t="n"/>
      <c r="C370" s="14" t="n"/>
      <c r="D370" s="14" t="n"/>
      <c r="E370" s="14" t="n"/>
      <c r="F370" s="14" t="n"/>
      <c r="G370" s="14" t="n"/>
      <c r="H370" s="14" t="n"/>
      <c r="I370" s="14" t="n"/>
      <c r="J370" s="16" t="n"/>
      <c r="K370" s="14">
        <f>Table1[[#This Row],[Complexity]]*$A$11+SUM(Table1[[#This Row],[Other 
Integration]:[OEM 
Integration]])*$C$11</f>
        <v/>
      </c>
      <c r="L370" s="7" t="n"/>
      <c r="M370" s="7" t="n"/>
    </row>
    <row r="371">
      <c r="A371" s="14" t="n">
        <v>355</v>
      </c>
      <c r="B371" s="14" t="n"/>
      <c r="C371" s="14" t="n"/>
      <c r="D371" s="14" t="n"/>
      <c r="E371" s="14" t="n"/>
      <c r="F371" s="14" t="n"/>
      <c r="G371" s="14" t="n"/>
      <c r="H371" s="14" t="n"/>
      <c r="I371" s="14" t="n"/>
      <c r="J371" s="16" t="n"/>
      <c r="K371" s="14">
        <f>Table1[[#This Row],[Complexity]]*$A$11+SUM(Table1[[#This Row],[Other 
Integration]:[OEM 
Integration]])*$C$11</f>
        <v/>
      </c>
      <c r="L371" s="7" t="n"/>
      <c r="M371" s="7" t="n"/>
    </row>
    <row r="372">
      <c r="A372" s="14" t="n">
        <v>356</v>
      </c>
      <c r="B372" s="14" t="n"/>
      <c r="C372" s="14" t="n"/>
      <c r="D372" s="14" t="n"/>
      <c r="E372" s="14" t="n"/>
      <c r="F372" s="14" t="n"/>
      <c r="G372" s="14" t="n"/>
      <c r="H372" s="14" t="n"/>
      <c r="I372" s="14" t="n"/>
      <c r="J372" s="16" t="n"/>
      <c r="K372" s="14">
        <f>Table1[[#This Row],[Complexity]]*$A$11+SUM(Table1[[#This Row],[Other 
Integration]:[OEM 
Integration]])*$C$11</f>
        <v/>
      </c>
      <c r="L372" s="7" t="n"/>
      <c r="M372" s="7" t="n"/>
    </row>
    <row r="373">
      <c r="A373" s="14" t="n">
        <v>357</v>
      </c>
      <c r="B373" s="14" t="n"/>
      <c r="C373" s="14" t="n"/>
      <c r="D373" s="14" t="n"/>
      <c r="E373" s="14" t="n"/>
      <c r="F373" s="14" t="n"/>
      <c r="G373" s="14" t="n"/>
      <c r="H373" s="14" t="n"/>
      <c r="I373" s="14" t="n"/>
      <c r="J373" s="16" t="n"/>
      <c r="K373" s="14">
        <f>Table1[[#This Row],[Complexity]]*$A$11+SUM(Table1[[#This Row],[Other 
Integration]:[OEM 
Integration]])*$C$11</f>
        <v/>
      </c>
      <c r="L373" s="7" t="n"/>
      <c r="M373" s="7" t="n"/>
    </row>
    <row r="374">
      <c r="A374" s="14" t="n">
        <v>358</v>
      </c>
      <c r="B374" s="14" t="n"/>
      <c r="C374" s="14" t="n"/>
      <c r="D374" s="14" t="n"/>
      <c r="E374" s="14" t="n"/>
      <c r="F374" s="14" t="n"/>
      <c r="G374" s="14" t="n"/>
      <c r="H374" s="14" t="n"/>
      <c r="I374" s="14" t="n"/>
      <c r="J374" s="16" t="n"/>
      <c r="K374" s="14">
        <f>Table1[[#This Row],[Complexity]]*$A$11+SUM(Table1[[#This Row],[Other 
Integration]:[OEM 
Integration]])*$C$11</f>
        <v/>
      </c>
      <c r="L374" s="7" t="n"/>
      <c r="M374" s="7" t="n"/>
    </row>
    <row r="375">
      <c r="A375" s="14" t="n">
        <v>359</v>
      </c>
      <c r="B375" s="14" t="n"/>
      <c r="C375" s="14" t="n"/>
      <c r="D375" s="14" t="n"/>
      <c r="E375" s="14" t="n"/>
      <c r="F375" s="14" t="n"/>
      <c r="G375" s="14" t="n"/>
      <c r="H375" s="14" t="n"/>
      <c r="I375" s="14" t="n"/>
      <c r="J375" s="16" t="n"/>
      <c r="K375" s="14">
        <f>Table1[[#This Row],[Complexity]]*$A$11+SUM(Table1[[#This Row],[Other 
Integration]:[OEM 
Integration]])*$C$11</f>
        <v/>
      </c>
      <c r="L375" s="7" t="n"/>
      <c r="M375" s="7" t="n"/>
    </row>
    <row r="376">
      <c r="A376" s="14" t="n">
        <v>360</v>
      </c>
      <c r="B376" s="14" t="n"/>
      <c r="C376" s="14" t="n"/>
      <c r="D376" s="14" t="n"/>
      <c r="E376" s="14" t="n"/>
      <c r="F376" s="14" t="n"/>
      <c r="G376" s="14" t="n"/>
      <c r="H376" s="14" t="n"/>
      <c r="I376" s="14" t="n"/>
      <c r="J376" s="16" t="n"/>
      <c r="K376" s="14">
        <f>Table1[[#This Row],[Complexity]]*$A$11+SUM(Table1[[#This Row],[Other 
Integration]:[OEM 
Integration]])*$C$11</f>
        <v/>
      </c>
      <c r="L376" s="7" t="n"/>
      <c r="M376" s="7" t="n"/>
    </row>
    <row r="377">
      <c r="A377" s="14" t="n">
        <v>361</v>
      </c>
      <c r="B377" s="14" t="n"/>
      <c r="C377" s="14" t="n"/>
      <c r="D377" s="14" t="n"/>
      <c r="E377" s="14" t="n"/>
      <c r="F377" s="14" t="n"/>
      <c r="G377" s="14" t="n"/>
      <c r="H377" s="14" t="n"/>
      <c r="I377" s="14" t="n"/>
      <c r="J377" s="16" t="n"/>
      <c r="K377" s="14">
        <f>Table1[[#This Row],[Complexity]]*$A$11+SUM(Table1[[#This Row],[Other 
Integration]:[OEM 
Integration]])*$C$11</f>
        <v/>
      </c>
      <c r="L377" s="7" t="n"/>
      <c r="M377" s="7" t="n"/>
    </row>
    <row r="378">
      <c r="A378" s="14" t="n">
        <v>362</v>
      </c>
      <c r="B378" s="14" t="n"/>
      <c r="C378" s="14" t="n"/>
      <c r="D378" s="14" t="n"/>
      <c r="E378" s="14" t="n"/>
      <c r="F378" s="14" t="n"/>
      <c r="G378" s="14" t="n"/>
      <c r="H378" s="14" t="n"/>
      <c r="I378" s="14" t="n"/>
      <c r="J378" s="16" t="n"/>
      <c r="K378" s="14">
        <f>Table1[[#This Row],[Complexity]]*$A$11+SUM(Table1[[#This Row],[Other 
Integration]:[OEM 
Integration]])*$C$11</f>
        <v/>
      </c>
      <c r="L378" s="7" t="n"/>
      <c r="M378" s="7" t="n"/>
    </row>
    <row r="379">
      <c r="A379" s="14" t="n">
        <v>363</v>
      </c>
      <c r="B379" s="14" t="n"/>
      <c r="C379" s="14" t="n"/>
      <c r="D379" s="14" t="n"/>
      <c r="E379" s="14" t="n"/>
      <c r="F379" s="14" t="n"/>
      <c r="G379" s="14" t="n"/>
      <c r="H379" s="14" t="n"/>
      <c r="I379" s="14" t="n"/>
      <c r="J379" s="16" t="n"/>
      <c r="K379" s="14">
        <f>Table1[[#This Row],[Complexity]]*$A$11+SUM(Table1[[#This Row],[Other 
Integration]:[OEM 
Integration]])*$C$11</f>
        <v/>
      </c>
      <c r="L379" s="7" t="n"/>
      <c r="M379" s="7" t="n"/>
    </row>
    <row r="380">
      <c r="A380" s="14" t="n">
        <v>364</v>
      </c>
      <c r="B380" s="14" t="n"/>
      <c r="C380" s="14" t="n"/>
      <c r="D380" s="14" t="n"/>
      <c r="E380" s="14" t="n"/>
      <c r="F380" s="14" t="n"/>
      <c r="G380" s="14" t="n"/>
      <c r="H380" s="14" t="n"/>
      <c r="I380" s="14" t="n"/>
      <c r="J380" s="16" t="n"/>
      <c r="K380" s="14">
        <f>Table1[[#This Row],[Complexity]]*$A$11+SUM(Table1[[#This Row],[Other 
Integration]:[OEM 
Integration]])*$C$11</f>
        <v/>
      </c>
      <c r="L380" s="7" t="n"/>
      <c r="M380" s="7" t="n"/>
    </row>
    <row r="381">
      <c r="A381" s="14" t="n">
        <v>365</v>
      </c>
      <c r="B381" s="14" t="n"/>
      <c r="C381" s="14" t="n"/>
      <c r="D381" s="14" t="n"/>
      <c r="E381" s="14" t="n"/>
      <c r="F381" s="14" t="n"/>
      <c r="G381" s="14" t="n"/>
      <c r="H381" s="14" t="n"/>
      <c r="I381" s="14" t="n"/>
      <c r="J381" s="16" t="n"/>
      <c r="K381" s="14">
        <f>Table1[[#This Row],[Complexity]]*$A$11+SUM(Table1[[#This Row],[Other 
Integration]:[OEM 
Integration]])*$C$11</f>
        <v/>
      </c>
      <c r="L381" s="7" t="n"/>
      <c r="M381" s="7" t="n"/>
    </row>
    <row r="382">
      <c r="A382" s="14" t="n">
        <v>366</v>
      </c>
      <c r="B382" s="14" t="n"/>
      <c r="C382" s="14" t="n"/>
      <c r="D382" s="14" t="n"/>
      <c r="E382" s="14" t="n"/>
      <c r="F382" s="14" t="n"/>
      <c r="G382" s="14" t="n"/>
      <c r="H382" s="14" t="n"/>
      <c r="I382" s="14" t="n"/>
      <c r="J382" s="16" t="n"/>
      <c r="K382" s="14">
        <f>Table1[[#This Row],[Complexity]]*$A$11+SUM(Table1[[#This Row],[Other 
Integration]:[OEM 
Integration]])*$C$11</f>
        <v/>
      </c>
      <c r="L382" s="7" t="n"/>
      <c r="M382" s="7" t="n"/>
    </row>
    <row r="383">
      <c r="A383" s="14" t="n">
        <v>367</v>
      </c>
      <c r="B383" s="14" t="n"/>
      <c r="C383" s="14" t="n"/>
      <c r="D383" s="14" t="n"/>
      <c r="E383" s="14" t="n"/>
      <c r="F383" s="14" t="n"/>
      <c r="G383" s="14" t="n"/>
      <c r="H383" s="14" t="n"/>
      <c r="I383" s="14" t="n"/>
      <c r="J383" s="16" t="n"/>
      <c r="K383" s="14">
        <f>Table1[[#This Row],[Complexity]]*$A$11+SUM(Table1[[#This Row],[Other 
Integration]:[OEM 
Integration]])*$C$11</f>
        <v/>
      </c>
      <c r="L383" s="7" t="n"/>
      <c r="M383" s="7" t="n"/>
    </row>
    <row r="384">
      <c r="A384" s="14" t="n">
        <v>368</v>
      </c>
      <c r="B384" s="14" t="n"/>
      <c r="C384" s="14" t="n"/>
      <c r="D384" s="14" t="n"/>
      <c r="E384" s="14" t="n"/>
      <c r="F384" s="14" t="n"/>
      <c r="G384" s="14" t="n"/>
      <c r="H384" s="14" t="n"/>
      <c r="I384" s="14" t="n"/>
      <c r="J384" s="16" t="n"/>
      <c r="K384" s="14">
        <f>Table1[[#This Row],[Complexity]]*$A$11+SUM(Table1[[#This Row],[Other 
Integration]:[OEM 
Integration]])*$C$11</f>
        <v/>
      </c>
      <c r="L384" s="7" t="n"/>
      <c r="M384" s="7" t="n"/>
    </row>
    <row r="385">
      <c r="A385" s="14" t="n">
        <v>369</v>
      </c>
      <c r="B385" s="14" t="n"/>
      <c r="C385" s="14" t="n"/>
      <c r="D385" s="14" t="n"/>
      <c r="E385" s="14" t="n"/>
      <c r="F385" s="14" t="n"/>
      <c r="G385" s="14" t="n"/>
      <c r="H385" s="14" t="n"/>
      <c r="I385" s="14" t="n"/>
      <c r="J385" s="16" t="n"/>
      <c r="K385" s="14">
        <f>Table1[[#This Row],[Complexity]]*$A$11+SUM(Table1[[#This Row],[Other 
Integration]:[OEM 
Integration]])*$C$11</f>
        <v/>
      </c>
      <c r="L385" s="7" t="n"/>
      <c r="M385" s="7" t="n"/>
    </row>
    <row r="386">
      <c r="A386" s="14" t="n">
        <v>370</v>
      </c>
      <c r="B386" s="14" t="n"/>
      <c r="C386" s="14" t="n"/>
      <c r="D386" s="14" t="n"/>
      <c r="E386" s="14" t="n"/>
      <c r="F386" s="14" t="n"/>
      <c r="G386" s="14" t="n"/>
      <c r="H386" s="14" t="n"/>
      <c r="I386" s="14" t="n"/>
      <c r="J386" s="16" t="n"/>
      <c r="K386" s="14">
        <f>Table1[[#This Row],[Complexity]]*$A$11+SUM(Table1[[#This Row],[Other 
Integration]:[OEM 
Integration]])*$C$11</f>
        <v/>
      </c>
      <c r="L386" s="7" t="n"/>
      <c r="M386" s="7" t="n"/>
    </row>
    <row r="387">
      <c r="A387" s="14" t="n">
        <v>371</v>
      </c>
      <c r="B387" s="14" t="n"/>
      <c r="C387" s="14" t="n"/>
      <c r="D387" s="14" t="n"/>
      <c r="E387" s="14" t="n"/>
      <c r="F387" s="14" t="n"/>
      <c r="G387" s="14" t="n"/>
      <c r="H387" s="14" t="n"/>
      <c r="I387" s="14" t="n"/>
      <c r="J387" s="16" t="n"/>
      <c r="K387" s="14">
        <f>Table1[[#This Row],[Complexity]]*$A$11+SUM(Table1[[#This Row],[Other 
Integration]:[OEM 
Integration]])*$C$11</f>
        <v/>
      </c>
      <c r="L387" s="7" t="n"/>
      <c r="M387" s="7" t="n"/>
    </row>
    <row r="388">
      <c r="A388" s="14" t="n">
        <v>372</v>
      </c>
      <c r="B388" s="14" t="n"/>
      <c r="C388" s="14" t="n"/>
      <c r="D388" s="14" t="n"/>
      <c r="E388" s="14" t="n"/>
      <c r="F388" s="14" t="n"/>
      <c r="G388" s="14" t="n"/>
      <c r="H388" s="14" t="n"/>
      <c r="I388" s="14" t="n"/>
      <c r="J388" s="16" t="n"/>
      <c r="K388" s="14">
        <f>Table1[[#This Row],[Complexity]]*$A$11+SUM(Table1[[#This Row],[Other 
Integration]:[OEM 
Integration]])*$C$11</f>
        <v/>
      </c>
      <c r="L388" s="7" t="n"/>
      <c r="M388" s="7" t="n"/>
    </row>
    <row r="389">
      <c r="A389" s="14" t="n">
        <v>373</v>
      </c>
      <c r="B389" s="14" t="n"/>
      <c r="C389" s="14" t="n"/>
      <c r="D389" s="14" t="n"/>
      <c r="E389" s="14" t="n"/>
      <c r="F389" s="14" t="n"/>
      <c r="G389" s="14" t="n"/>
      <c r="H389" s="14" t="n"/>
      <c r="I389" s="14" t="n"/>
      <c r="J389" s="16" t="n"/>
      <c r="K389" s="14">
        <f>Table1[[#This Row],[Complexity]]*$A$11+SUM(Table1[[#This Row],[Other 
Integration]:[OEM 
Integration]])*$C$11</f>
        <v/>
      </c>
      <c r="L389" s="7" t="n"/>
      <c r="M389" s="7" t="n"/>
    </row>
    <row r="390">
      <c r="A390" s="14" t="n">
        <v>374</v>
      </c>
      <c r="B390" s="14" t="n"/>
      <c r="C390" s="14" t="n"/>
      <c r="D390" s="14" t="n"/>
      <c r="E390" s="14" t="n"/>
      <c r="F390" s="14" t="n"/>
      <c r="G390" s="14" t="n"/>
      <c r="H390" s="14" t="n"/>
      <c r="I390" s="14" t="n"/>
      <c r="J390" s="16" t="n"/>
      <c r="K390" s="14">
        <f>Table1[[#This Row],[Complexity]]*$A$11+SUM(Table1[[#This Row],[Other 
Integration]:[OEM 
Integration]])*$C$11</f>
        <v/>
      </c>
      <c r="L390" s="7" t="n"/>
      <c r="M390" s="7" t="n"/>
    </row>
    <row r="391">
      <c r="A391" s="14" t="n">
        <v>375</v>
      </c>
      <c r="B391" s="14" t="n"/>
      <c r="C391" s="14" t="n"/>
      <c r="D391" s="14" t="n"/>
      <c r="E391" s="14" t="n"/>
      <c r="F391" s="14" t="n"/>
      <c r="G391" s="14" t="n"/>
      <c r="H391" s="14" t="n"/>
      <c r="I391" s="14" t="n"/>
      <c r="J391" s="16" t="n"/>
      <c r="K391" s="14">
        <f>Table1[[#This Row],[Complexity]]*$A$11+SUM(Table1[[#This Row],[Other 
Integration]:[OEM 
Integration]])*$C$11</f>
        <v/>
      </c>
      <c r="L391" s="7" t="n"/>
      <c r="M391" s="7" t="n"/>
    </row>
    <row r="392">
      <c r="A392" s="14" t="n">
        <v>376</v>
      </c>
      <c r="B392" s="14" t="n"/>
      <c r="C392" s="14" t="n"/>
      <c r="D392" s="14" t="n"/>
      <c r="E392" s="14" t="n"/>
      <c r="F392" s="14" t="n"/>
      <c r="G392" s="14" t="n"/>
      <c r="H392" s="14" t="n"/>
      <c r="I392" s="14" t="n"/>
      <c r="J392" s="16" t="n"/>
      <c r="K392" s="14">
        <f>Table1[[#This Row],[Complexity]]*$A$11+SUM(Table1[[#This Row],[Other 
Integration]:[OEM 
Integration]])*$C$11</f>
        <v/>
      </c>
      <c r="L392" s="7" t="n"/>
      <c r="M392" s="7" t="n"/>
    </row>
    <row r="393">
      <c r="A393" s="14" t="n">
        <v>377</v>
      </c>
      <c r="B393" s="14" t="n"/>
      <c r="C393" s="14" t="n"/>
      <c r="D393" s="14" t="n"/>
      <c r="E393" s="14" t="n"/>
      <c r="F393" s="14" t="n"/>
      <c r="G393" s="14" t="n"/>
      <c r="H393" s="14" t="n"/>
      <c r="I393" s="14" t="n"/>
      <c r="J393" s="16" t="n"/>
      <c r="K393" s="14">
        <f>Table1[[#This Row],[Complexity]]*$A$11+SUM(Table1[[#This Row],[Other 
Integration]:[OEM 
Integration]])*$C$11</f>
        <v/>
      </c>
      <c r="L393" s="7" t="n"/>
      <c r="M393" s="7" t="n"/>
    </row>
    <row r="394">
      <c r="A394" s="14" t="n">
        <v>378</v>
      </c>
      <c r="B394" s="14" t="n"/>
      <c r="C394" s="14" t="n"/>
      <c r="D394" s="14" t="n"/>
      <c r="E394" s="14" t="n"/>
      <c r="F394" s="14" t="n"/>
      <c r="G394" s="14" t="n"/>
      <c r="H394" s="14" t="n"/>
      <c r="I394" s="14" t="n"/>
      <c r="J394" s="16" t="n"/>
      <c r="K394" s="14">
        <f>Table1[[#This Row],[Complexity]]*$A$11+SUM(Table1[[#This Row],[Other 
Integration]:[OEM 
Integration]])*$C$11</f>
        <v/>
      </c>
      <c r="L394" s="7" t="n"/>
      <c r="M394" s="7" t="n"/>
    </row>
    <row r="395">
      <c r="A395" s="14" t="n">
        <v>379</v>
      </c>
      <c r="B395" s="14" t="n"/>
      <c r="C395" s="14" t="n"/>
      <c r="D395" s="14" t="n"/>
      <c r="E395" s="14" t="n"/>
      <c r="F395" s="14" t="n"/>
      <c r="G395" s="14" t="n"/>
      <c r="H395" s="14" t="n"/>
      <c r="I395" s="14" t="n"/>
      <c r="J395" s="16" t="n"/>
      <c r="K395" s="14">
        <f>Table1[[#This Row],[Complexity]]*$A$11+SUM(Table1[[#This Row],[Other 
Integration]:[OEM 
Integration]])*$C$11</f>
        <v/>
      </c>
      <c r="L395" s="7" t="n"/>
      <c r="M395" s="7" t="n"/>
    </row>
    <row r="396">
      <c r="A396" s="14" t="n">
        <v>380</v>
      </c>
      <c r="B396" s="14" t="n"/>
      <c r="C396" s="14" t="n"/>
      <c r="D396" s="14" t="n"/>
      <c r="E396" s="14" t="n"/>
      <c r="F396" s="14" t="n"/>
      <c r="G396" s="14" t="n"/>
      <c r="H396" s="14" t="n"/>
      <c r="I396" s="14" t="n"/>
      <c r="J396" s="16" t="n"/>
      <c r="K396" s="14">
        <f>Table1[[#This Row],[Complexity]]*$A$11+SUM(Table1[[#This Row],[Other 
Integration]:[OEM 
Integration]])*$C$11</f>
        <v/>
      </c>
      <c r="L396" s="7" t="n"/>
      <c r="M396" s="7" t="n"/>
    </row>
    <row r="397">
      <c r="A397" s="14" t="n">
        <v>381</v>
      </c>
      <c r="B397" s="14" t="n"/>
      <c r="C397" s="14" t="n"/>
      <c r="D397" s="14" t="n"/>
      <c r="E397" s="14" t="n"/>
      <c r="F397" s="14" t="n"/>
      <c r="G397" s="14" t="n"/>
      <c r="H397" s="14" t="n"/>
      <c r="I397" s="14" t="n"/>
      <c r="J397" s="16" t="n"/>
      <c r="K397" s="14">
        <f>Table1[[#This Row],[Complexity]]*$A$11+SUM(Table1[[#This Row],[Other 
Integration]:[OEM 
Integration]])*$C$11</f>
        <v/>
      </c>
      <c r="L397" s="7" t="n"/>
      <c r="M397" s="7" t="n"/>
    </row>
    <row r="398">
      <c r="A398" s="14" t="n">
        <v>382</v>
      </c>
      <c r="B398" s="14" t="n"/>
      <c r="C398" s="14" t="n"/>
      <c r="D398" s="14" t="n"/>
      <c r="E398" s="14" t="n"/>
      <c r="F398" s="14" t="n"/>
      <c r="G398" s="14" t="n"/>
      <c r="H398" s="14" t="n"/>
      <c r="I398" s="14" t="n"/>
      <c r="J398" s="16" t="n"/>
      <c r="K398" s="14">
        <f>Table1[[#This Row],[Complexity]]*$A$11+SUM(Table1[[#This Row],[Other 
Integration]:[OEM 
Integration]])*$C$11</f>
        <v/>
      </c>
      <c r="L398" s="7" t="n"/>
      <c r="M398" s="7" t="n"/>
    </row>
    <row r="399">
      <c r="A399" s="14" t="n">
        <v>383</v>
      </c>
      <c r="B399" s="14" t="n"/>
      <c r="C399" s="14" t="n"/>
      <c r="D399" s="14" t="n"/>
      <c r="E399" s="14" t="n"/>
      <c r="F399" s="14" t="n"/>
      <c r="G399" s="14" t="n"/>
      <c r="H399" s="14" t="n"/>
      <c r="I399" s="14" t="n"/>
      <c r="J399" s="16" t="n"/>
      <c r="K399" s="14">
        <f>Table1[[#This Row],[Complexity]]*$A$11+SUM(Table1[[#This Row],[Other 
Integration]:[OEM 
Integration]])*$C$11</f>
        <v/>
      </c>
      <c r="L399" s="7" t="n"/>
      <c r="M399" s="7" t="n"/>
    </row>
    <row r="400">
      <c r="A400" s="14" t="n">
        <v>384</v>
      </c>
      <c r="B400" s="14" t="n"/>
      <c r="C400" s="14" t="n"/>
      <c r="D400" s="14" t="n"/>
      <c r="E400" s="14" t="n"/>
      <c r="F400" s="14" t="n"/>
      <c r="G400" s="14" t="n"/>
      <c r="H400" s="14" t="n"/>
      <c r="I400" s="14" t="n"/>
      <c r="J400" s="16" t="n"/>
      <c r="K400" s="14">
        <f>Table1[[#This Row],[Complexity]]*$A$11+SUM(Table1[[#This Row],[Other 
Integration]:[OEM 
Integration]])*$C$11</f>
        <v/>
      </c>
      <c r="L400" s="7" t="n"/>
      <c r="M400" s="7" t="n"/>
    </row>
    <row r="401">
      <c r="A401" s="14" t="n">
        <v>385</v>
      </c>
      <c r="B401" s="14" t="n"/>
      <c r="C401" s="14" t="n"/>
      <c r="D401" s="14" t="n"/>
      <c r="E401" s="14" t="n"/>
      <c r="F401" s="14" t="n"/>
      <c r="G401" s="14" t="n"/>
      <c r="H401" s="14" t="n"/>
      <c r="I401" s="14" t="n"/>
      <c r="J401" s="16" t="n"/>
      <c r="K401" s="14">
        <f>Table1[[#This Row],[Complexity]]*$A$11+SUM(Table1[[#This Row],[Other 
Integration]:[OEM 
Integration]])*$C$11</f>
        <v/>
      </c>
      <c r="L401" s="7" t="n"/>
      <c r="M401" s="7" t="n"/>
    </row>
    <row r="402">
      <c r="A402" s="14" t="n">
        <v>386</v>
      </c>
      <c r="B402" s="14" t="n"/>
      <c r="C402" s="14" t="n"/>
      <c r="D402" s="14" t="n"/>
      <c r="E402" s="14" t="n"/>
      <c r="F402" s="14" t="n"/>
      <c r="G402" s="14" t="n"/>
      <c r="H402" s="14" t="n"/>
      <c r="I402" s="14" t="n"/>
      <c r="J402" s="16" t="n"/>
      <c r="K402" s="14">
        <f>Table1[[#This Row],[Complexity]]*$A$11+SUM(Table1[[#This Row],[Other 
Integration]:[OEM 
Integration]])*$C$11</f>
        <v/>
      </c>
      <c r="L402" s="7" t="n"/>
      <c r="M402" s="7" t="n"/>
    </row>
    <row r="403">
      <c r="A403" s="14" t="n">
        <v>387</v>
      </c>
      <c r="B403" s="14" t="n"/>
      <c r="C403" s="14" t="n"/>
      <c r="D403" s="14" t="n"/>
      <c r="E403" s="14" t="n"/>
      <c r="F403" s="14" t="n"/>
      <c r="G403" s="14" t="n"/>
      <c r="H403" s="14" t="n"/>
      <c r="I403" s="14" t="n"/>
      <c r="J403" s="16" t="n"/>
      <c r="K403" s="14">
        <f>Table1[[#This Row],[Complexity]]*$A$11+SUM(Table1[[#This Row],[Other 
Integration]:[OEM 
Integration]])*$C$11</f>
        <v/>
      </c>
      <c r="L403" s="7" t="n"/>
      <c r="M403" s="7" t="n"/>
    </row>
    <row r="404">
      <c r="A404" s="14" t="n">
        <v>388</v>
      </c>
      <c r="B404" s="14" t="n"/>
      <c r="C404" s="14" t="n"/>
      <c r="D404" s="14" t="n"/>
      <c r="E404" s="14" t="n"/>
      <c r="F404" s="14" t="n"/>
      <c r="G404" s="14" t="n"/>
      <c r="H404" s="14" t="n"/>
      <c r="I404" s="14" t="n"/>
      <c r="J404" s="16" t="n"/>
      <c r="K404" s="14">
        <f>Table1[[#This Row],[Complexity]]*$A$11+SUM(Table1[[#This Row],[Other 
Integration]:[OEM 
Integration]])*$C$11</f>
        <v/>
      </c>
      <c r="L404" s="7" t="n"/>
      <c r="M404" s="7" t="n"/>
    </row>
    <row r="405">
      <c r="A405" s="14" t="n">
        <v>389</v>
      </c>
      <c r="B405" s="14" t="n"/>
      <c r="C405" s="14" t="n"/>
      <c r="D405" s="14" t="n"/>
      <c r="E405" s="14" t="n"/>
      <c r="F405" s="14" t="n"/>
      <c r="G405" s="14" t="n"/>
      <c r="H405" s="14" t="n"/>
      <c r="I405" s="14" t="n"/>
      <c r="J405" s="16" t="n"/>
      <c r="K405" s="14">
        <f>Table1[[#This Row],[Complexity]]*$A$11+SUM(Table1[[#This Row],[Other 
Integration]:[OEM 
Integration]])*$C$11</f>
        <v/>
      </c>
      <c r="L405" s="7" t="n"/>
      <c r="M405" s="7" t="n"/>
    </row>
    <row r="406">
      <c r="A406" s="14" t="n">
        <v>390</v>
      </c>
      <c r="B406" s="14" t="n"/>
      <c r="C406" s="14" t="n"/>
      <c r="D406" s="14" t="n"/>
      <c r="E406" s="14" t="n"/>
      <c r="F406" s="14" t="n"/>
      <c r="G406" s="14" t="n"/>
      <c r="H406" s="14" t="n"/>
      <c r="I406" s="14" t="n"/>
      <c r="J406" s="16" t="n"/>
      <c r="K406" s="14">
        <f>Table1[[#This Row],[Complexity]]*$A$11+SUM(Table1[[#This Row],[Other 
Integration]:[OEM 
Integration]])*$C$11</f>
        <v/>
      </c>
      <c r="L406" s="7" t="n"/>
      <c r="M406" s="7" t="n"/>
    </row>
    <row r="407">
      <c r="A407" s="14" t="n">
        <v>391</v>
      </c>
      <c r="B407" s="14" t="n"/>
      <c r="C407" s="14" t="n"/>
      <c r="D407" s="14" t="n"/>
      <c r="E407" s="14" t="n"/>
      <c r="F407" s="14" t="n"/>
      <c r="G407" s="14" t="n"/>
      <c r="H407" s="14" t="n"/>
      <c r="I407" s="14" t="n"/>
      <c r="J407" s="16" t="n"/>
      <c r="K407" s="14">
        <f>Table1[[#This Row],[Complexity]]*$A$11+SUM(Table1[[#This Row],[Other 
Integration]:[OEM 
Integration]])*$C$11</f>
        <v/>
      </c>
      <c r="L407" s="7" t="n"/>
      <c r="M407" s="7" t="n"/>
    </row>
    <row r="408">
      <c r="A408" s="14" t="n">
        <v>392</v>
      </c>
      <c r="B408" s="14" t="n"/>
      <c r="C408" s="14" t="n"/>
      <c r="D408" s="14" t="n"/>
      <c r="E408" s="14" t="n"/>
      <c r="F408" s="14" t="n"/>
      <c r="G408" s="14" t="n"/>
      <c r="H408" s="14" t="n"/>
      <c r="I408" s="14" t="n"/>
      <c r="J408" s="16" t="n"/>
      <c r="K408" s="14">
        <f>Table1[[#This Row],[Complexity]]*$A$11+SUM(Table1[[#This Row],[Other 
Integration]:[OEM 
Integration]])*$C$11</f>
        <v/>
      </c>
      <c r="L408" s="7" t="n"/>
      <c r="M408" s="7" t="n"/>
    </row>
    <row r="409">
      <c r="A409" s="14" t="n">
        <v>393</v>
      </c>
      <c r="B409" s="14" t="n"/>
      <c r="C409" s="14" t="n"/>
      <c r="D409" s="14" t="n"/>
      <c r="E409" s="14" t="n"/>
      <c r="F409" s="14" t="n"/>
      <c r="G409" s="14" t="n"/>
      <c r="H409" s="14" t="n"/>
      <c r="I409" s="14" t="n"/>
      <c r="J409" s="16" t="n"/>
      <c r="K409" s="14">
        <f>Table1[[#This Row],[Complexity]]*$A$11+SUM(Table1[[#This Row],[Other 
Integration]:[OEM 
Integration]])*$C$11</f>
        <v/>
      </c>
      <c r="L409" s="7" t="n"/>
      <c r="M409" s="7" t="n"/>
    </row>
    <row r="410">
      <c r="A410" s="14" t="n">
        <v>394</v>
      </c>
      <c r="B410" s="14" t="n"/>
      <c r="C410" s="14" t="n"/>
      <c r="D410" s="14" t="n"/>
      <c r="E410" s="14" t="n"/>
      <c r="F410" s="14" t="n"/>
      <c r="G410" s="14" t="n"/>
      <c r="H410" s="14" t="n"/>
      <c r="I410" s="14" t="n"/>
      <c r="J410" s="16" t="n"/>
      <c r="K410" s="14">
        <f>Table1[[#This Row],[Complexity]]*$A$11+SUM(Table1[[#This Row],[Other 
Integration]:[OEM 
Integration]])*$C$11</f>
        <v/>
      </c>
      <c r="L410" s="7" t="n"/>
      <c r="M410" s="7" t="n"/>
    </row>
    <row r="411">
      <c r="A411" s="14" t="n">
        <v>395</v>
      </c>
      <c r="B411" s="14" t="n"/>
      <c r="C411" s="14" t="n"/>
      <c r="D411" s="14" t="n"/>
      <c r="E411" s="14" t="n"/>
      <c r="F411" s="14" t="n"/>
      <c r="G411" s="14" t="n"/>
      <c r="H411" s="14" t="n"/>
      <c r="I411" s="14" t="n"/>
      <c r="J411" s="16" t="n"/>
      <c r="K411" s="14">
        <f>Table1[[#This Row],[Complexity]]*$A$11+SUM(Table1[[#This Row],[Other 
Integration]:[OEM 
Integration]])*$C$11</f>
        <v/>
      </c>
      <c r="L411" s="7" t="n"/>
      <c r="M411" s="7" t="n"/>
    </row>
    <row r="412">
      <c r="A412" s="14" t="n">
        <v>396</v>
      </c>
      <c r="B412" s="14" t="n"/>
      <c r="C412" s="14" t="n"/>
      <c r="D412" s="14" t="n"/>
      <c r="E412" s="14" t="n"/>
      <c r="F412" s="14" t="n"/>
      <c r="G412" s="14" t="n"/>
      <c r="H412" s="14" t="n"/>
      <c r="I412" s="14" t="n"/>
      <c r="J412" s="16" t="n"/>
      <c r="K412" s="14">
        <f>Table1[[#This Row],[Complexity]]*$A$11+SUM(Table1[[#This Row],[Other 
Integration]:[OEM 
Integration]])*$C$11</f>
        <v/>
      </c>
      <c r="L412" s="7" t="n"/>
      <c r="M412" s="7" t="n"/>
    </row>
    <row r="413">
      <c r="A413" s="14" t="n">
        <v>397</v>
      </c>
      <c r="B413" s="14" t="n"/>
      <c r="C413" s="14" t="n"/>
      <c r="D413" s="14" t="n"/>
      <c r="E413" s="14" t="n"/>
      <c r="F413" s="14" t="n"/>
      <c r="G413" s="14" t="n"/>
      <c r="H413" s="14" t="n"/>
      <c r="I413" s="14" t="n"/>
      <c r="J413" s="16" t="n"/>
      <c r="K413" s="14">
        <f>Table1[[#This Row],[Complexity]]*$A$11+SUM(Table1[[#This Row],[Other 
Integration]:[OEM 
Integration]])*$C$11</f>
        <v/>
      </c>
      <c r="L413" s="7" t="n"/>
      <c r="M413" s="7" t="n"/>
    </row>
    <row r="414">
      <c r="A414" s="14" t="n">
        <v>398</v>
      </c>
      <c r="B414" s="14" t="n"/>
      <c r="C414" s="14" t="n"/>
      <c r="D414" s="14" t="n"/>
      <c r="E414" s="14" t="n"/>
      <c r="F414" s="14" t="n"/>
      <c r="G414" s="14" t="n"/>
      <c r="H414" s="14" t="n"/>
      <c r="I414" s="14" t="n"/>
      <c r="J414" s="16" t="n"/>
      <c r="K414" s="14">
        <f>Table1[[#This Row],[Complexity]]*$A$11+SUM(Table1[[#This Row],[Other 
Integration]:[OEM 
Integration]])*$C$11</f>
        <v/>
      </c>
      <c r="L414" s="7" t="n"/>
      <c r="M414" s="7" t="n"/>
    </row>
    <row r="415">
      <c r="A415" s="14" t="n">
        <v>399</v>
      </c>
      <c r="B415" s="14" t="n"/>
      <c r="C415" s="14" t="n"/>
      <c r="D415" s="14" t="n"/>
      <c r="E415" s="14" t="n"/>
      <c r="F415" s="14" t="n"/>
      <c r="G415" s="14" t="n"/>
      <c r="H415" s="14" t="n"/>
      <c r="I415" s="14" t="n"/>
      <c r="J415" s="16" t="n"/>
      <c r="K415" s="14">
        <f>Table1[[#This Row],[Complexity]]*$A$11+SUM(Table1[[#This Row],[Other 
Integration]:[OEM 
Integration]])*$C$11</f>
        <v/>
      </c>
      <c r="L415" s="7" t="n"/>
      <c r="M415" s="7" t="n"/>
    </row>
    <row r="416">
      <c r="A416" s="14" t="n">
        <v>400</v>
      </c>
      <c r="B416" s="14" t="n"/>
      <c r="C416" s="14" t="n"/>
      <c r="D416" s="14" t="n"/>
      <c r="E416" s="14" t="n"/>
      <c r="F416" s="14" t="n"/>
      <c r="G416" s="14" t="n"/>
      <c r="H416" s="14" t="n"/>
      <c r="I416" s="14" t="n"/>
      <c r="J416" s="16" t="n"/>
      <c r="K416" s="14">
        <f>Table1[[#This Row],[Complexity]]*$A$11+SUM(Table1[[#This Row],[Other 
Integration]:[OEM 
Integration]])*$C$11</f>
        <v/>
      </c>
      <c r="L416" s="7" t="n"/>
      <c r="M416" s="7" t="n"/>
    </row>
    <row r="417">
      <c r="A417" s="14" t="n">
        <v>401</v>
      </c>
      <c r="B417" s="14" t="n"/>
      <c r="C417" s="14" t="n"/>
      <c r="D417" s="14" t="n"/>
      <c r="E417" s="14" t="n"/>
      <c r="F417" s="14" t="n"/>
      <c r="G417" s="14" t="n"/>
      <c r="H417" s="14" t="n"/>
      <c r="I417" s="14" t="n"/>
      <c r="J417" s="16" t="n"/>
      <c r="K417" s="14">
        <f>Table1[[#This Row],[Complexity]]*$A$11+SUM(Table1[[#This Row],[Other 
Integration]:[OEM 
Integration]])*$C$11</f>
        <v/>
      </c>
      <c r="L417" s="7" t="n"/>
      <c r="M417" s="7" t="n"/>
    </row>
    <row r="418">
      <c r="A418" s="14" t="n">
        <v>402</v>
      </c>
      <c r="B418" s="14" t="n"/>
      <c r="C418" s="14" t="n"/>
      <c r="D418" s="14" t="n"/>
      <c r="E418" s="14" t="n"/>
      <c r="F418" s="14" t="n"/>
      <c r="G418" s="14" t="n"/>
      <c r="H418" s="14" t="n"/>
      <c r="I418" s="14" t="n"/>
      <c r="J418" s="16" t="n"/>
      <c r="K418" s="14">
        <f>Table1[[#This Row],[Complexity]]*$A$11+SUM(Table1[[#This Row],[Other 
Integration]:[OEM 
Integration]])*$C$11</f>
        <v/>
      </c>
      <c r="L418" s="7" t="n"/>
      <c r="M418" s="7" t="n"/>
    </row>
    <row r="419">
      <c r="A419" s="14" t="n">
        <v>403</v>
      </c>
      <c r="B419" s="14" t="n"/>
      <c r="C419" s="14" t="n"/>
      <c r="D419" s="14" t="n"/>
      <c r="E419" s="14" t="n"/>
      <c r="F419" s="14" t="n"/>
      <c r="G419" s="14" t="n"/>
      <c r="H419" s="14" t="n"/>
      <c r="I419" s="14" t="n"/>
      <c r="J419" s="16" t="n"/>
      <c r="K419" s="14">
        <f>Table1[[#This Row],[Complexity]]*$A$11+SUM(Table1[[#This Row],[Other 
Integration]:[OEM 
Integration]])*$C$11</f>
        <v/>
      </c>
      <c r="L419" s="7" t="n"/>
      <c r="M419" s="7" t="n"/>
    </row>
    <row r="420">
      <c r="A420" s="14" t="n">
        <v>404</v>
      </c>
      <c r="B420" s="14" t="n"/>
      <c r="C420" s="14" t="n"/>
      <c r="D420" s="14" t="n"/>
      <c r="E420" s="14" t="n"/>
      <c r="F420" s="14" t="n"/>
      <c r="G420" s="14" t="n"/>
      <c r="H420" s="14" t="n"/>
      <c r="I420" s="14" t="n"/>
      <c r="J420" s="16" t="n"/>
      <c r="K420" s="14">
        <f>Table1[[#This Row],[Complexity]]*$A$11+SUM(Table1[[#This Row],[Other 
Integration]:[OEM 
Integration]])*$C$11</f>
        <v/>
      </c>
      <c r="L420" s="7" t="n"/>
      <c r="M420" s="7" t="n"/>
    </row>
    <row r="421">
      <c r="A421" s="14" t="n">
        <v>405</v>
      </c>
      <c r="B421" s="14" t="n"/>
      <c r="C421" s="14" t="n"/>
      <c r="D421" s="14" t="n"/>
      <c r="E421" s="14" t="n"/>
      <c r="F421" s="14" t="n"/>
      <c r="G421" s="14" t="n"/>
      <c r="H421" s="14" t="n"/>
      <c r="I421" s="14" t="n"/>
      <c r="J421" s="16" t="n"/>
      <c r="K421" s="14">
        <f>Table1[[#This Row],[Complexity]]*$A$11+SUM(Table1[[#This Row],[Other 
Integration]:[OEM 
Integration]])*$C$11</f>
        <v/>
      </c>
      <c r="L421" s="7" t="n"/>
      <c r="M421" s="7" t="n"/>
    </row>
    <row r="422">
      <c r="A422" s="14" t="n">
        <v>406</v>
      </c>
      <c r="B422" s="14" t="n"/>
      <c r="C422" s="14" t="n"/>
      <c r="D422" s="14" t="n"/>
      <c r="E422" s="14" t="n"/>
      <c r="F422" s="14" t="n"/>
      <c r="G422" s="14" t="n"/>
      <c r="H422" s="14" t="n"/>
      <c r="I422" s="14" t="n"/>
      <c r="J422" s="16" t="n"/>
      <c r="K422" s="14">
        <f>Table1[[#This Row],[Complexity]]*$A$11+SUM(Table1[[#This Row],[Other 
Integration]:[OEM 
Integration]])*$C$11</f>
        <v/>
      </c>
      <c r="L422" s="7" t="n"/>
      <c r="M422" s="7" t="n"/>
    </row>
    <row r="423">
      <c r="A423" s="14" t="n">
        <v>407</v>
      </c>
      <c r="B423" s="14" t="n"/>
      <c r="C423" s="14" t="n"/>
      <c r="D423" s="14" t="n"/>
      <c r="E423" s="14" t="n"/>
      <c r="F423" s="14" t="n"/>
      <c r="G423" s="14" t="n"/>
      <c r="H423" s="14" t="n"/>
      <c r="I423" s="14" t="n"/>
      <c r="J423" s="16" t="n"/>
      <c r="K423" s="14">
        <f>Table1[[#This Row],[Complexity]]*$A$11+SUM(Table1[[#This Row],[Other 
Integration]:[OEM 
Integration]])*$C$11</f>
        <v/>
      </c>
      <c r="L423" s="7" t="n"/>
      <c r="M423" s="7" t="n"/>
    </row>
    <row r="424">
      <c r="A424" s="14" t="n">
        <v>408</v>
      </c>
      <c r="B424" s="14" t="n"/>
      <c r="C424" s="14" t="n"/>
      <c r="D424" s="14" t="n"/>
      <c r="E424" s="14" t="n"/>
      <c r="F424" s="14" t="n"/>
      <c r="G424" s="14" t="n"/>
      <c r="H424" s="14" t="n"/>
      <c r="I424" s="14" t="n"/>
      <c r="J424" s="16" t="n"/>
      <c r="K424" s="14">
        <f>Table1[[#This Row],[Complexity]]*$A$11+SUM(Table1[[#This Row],[Other 
Integration]:[OEM 
Integration]])*$C$11</f>
        <v/>
      </c>
      <c r="L424" s="7" t="n"/>
      <c r="M424" s="7" t="n"/>
    </row>
    <row r="425">
      <c r="A425" s="14" t="n">
        <v>409</v>
      </c>
      <c r="B425" s="14" t="n"/>
      <c r="C425" s="14" t="n"/>
      <c r="D425" s="14" t="n"/>
      <c r="E425" s="14" t="n"/>
      <c r="F425" s="14" t="n"/>
      <c r="G425" s="14" t="n"/>
      <c r="H425" s="14" t="n"/>
      <c r="I425" s="14" t="n"/>
      <c r="J425" s="16" t="n"/>
      <c r="K425" s="14">
        <f>Table1[[#This Row],[Complexity]]*$A$11+SUM(Table1[[#This Row],[Other 
Integration]:[OEM 
Integration]])*$C$11</f>
        <v/>
      </c>
      <c r="L425" s="7" t="n"/>
      <c r="M425" s="7" t="n"/>
    </row>
    <row r="426">
      <c r="A426" s="14" t="n">
        <v>410</v>
      </c>
      <c r="B426" s="14" t="n"/>
      <c r="C426" s="14" t="n"/>
      <c r="D426" s="14" t="n"/>
      <c r="E426" s="14" t="n"/>
      <c r="F426" s="14" t="n"/>
      <c r="G426" s="14" t="n"/>
      <c r="H426" s="14" t="n"/>
      <c r="I426" s="14" t="n"/>
      <c r="J426" s="16" t="n"/>
      <c r="K426" s="14">
        <f>Table1[[#This Row],[Complexity]]*$A$11+SUM(Table1[[#This Row],[Other 
Integration]:[OEM 
Integration]])*$C$11</f>
        <v/>
      </c>
      <c r="L426" s="7" t="n"/>
      <c r="M426" s="7" t="n"/>
    </row>
    <row r="427">
      <c r="A427" s="14" t="n">
        <v>411</v>
      </c>
      <c r="B427" s="14" t="n"/>
      <c r="C427" s="14" t="n"/>
      <c r="D427" s="14" t="n"/>
      <c r="E427" s="14" t="n"/>
      <c r="F427" s="14" t="n"/>
      <c r="G427" s="14" t="n"/>
      <c r="H427" s="14" t="n"/>
      <c r="I427" s="14" t="n"/>
      <c r="J427" s="16" t="n"/>
      <c r="K427" s="14">
        <f>Table1[[#This Row],[Complexity]]*$A$11+SUM(Table1[[#This Row],[Other 
Integration]:[OEM 
Integration]])*$C$11</f>
        <v/>
      </c>
      <c r="L427" s="7" t="n"/>
      <c r="M427" s="7" t="n"/>
    </row>
    <row r="428">
      <c r="A428" s="14" t="n">
        <v>412</v>
      </c>
      <c r="B428" s="14" t="n"/>
      <c r="C428" s="14" t="n"/>
      <c r="D428" s="14" t="n"/>
      <c r="E428" s="14" t="n"/>
      <c r="F428" s="14" t="n"/>
      <c r="G428" s="14" t="n"/>
      <c r="H428" s="14" t="n"/>
      <c r="I428" s="14" t="n"/>
      <c r="J428" s="16" t="n"/>
      <c r="K428" s="14">
        <f>Table1[[#This Row],[Complexity]]*$A$11+SUM(Table1[[#This Row],[Other 
Integration]:[OEM 
Integration]])*$C$11</f>
        <v/>
      </c>
      <c r="L428" s="7" t="n"/>
      <c r="M428" s="7" t="n"/>
    </row>
    <row r="429">
      <c r="A429" s="14" t="n">
        <v>413</v>
      </c>
      <c r="B429" s="14" t="n"/>
      <c r="C429" s="14" t="n"/>
      <c r="D429" s="14" t="n"/>
      <c r="E429" s="14" t="n"/>
      <c r="F429" s="14" t="n"/>
      <c r="G429" s="14" t="n"/>
      <c r="H429" s="14" t="n"/>
      <c r="I429" s="14" t="n"/>
      <c r="J429" s="16" t="n"/>
      <c r="K429" s="14">
        <f>Table1[[#This Row],[Complexity]]*$A$11+SUM(Table1[[#This Row],[Other 
Integration]:[OEM 
Integration]])*$C$11</f>
        <v/>
      </c>
      <c r="L429" s="7" t="n"/>
      <c r="M429" s="7" t="n"/>
    </row>
    <row r="430">
      <c r="A430" s="14" t="n">
        <v>414</v>
      </c>
      <c r="B430" s="14" t="n"/>
      <c r="C430" s="14" t="n"/>
      <c r="D430" s="14" t="n"/>
      <c r="E430" s="14" t="n"/>
      <c r="F430" s="14" t="n"/>
      <c r="G430" s="14" t="n"/>
      <c r="H430" s="14" t="n"/>
      <c r="I430" s="14" t="n"/>
      <c r="J430" s="16" t="n"/>
      <c r="K430" s="14">
        <f>Table1[[#This Row],[Complexity]]*$A$11+SUM(Table1[[#This Row],[Other 
Integration]:[OEM 
Integration]])*$C$11</f>
        <v/>
      </c>
      <c r="L430" s="7" t="n"/>
      <c r="M430" s="7" t="n"/>
    </row>
    <row r="431">
      <c r="A431" s="14" t="n">
        <v>415</v>
      </c>
      <c r="B431" s="14" t="n"/>
      <c r="C431" s="14" t="n"/>
      <c r="D431" s="14" t="n"/>
      <c r="E431" s="14" t="n"/>
      <c r="F431" s="14" t="n"/>
      <c r="G431" s="14" t="n"/>
      <c r="H431" s="14" t="n"/>
      <c r="I431" s="14" t="n"/>
      <c r="J431" s="16" t="n"/>
      <c r="K431" s="14">
        <f>Table1[[#This Row],[Complexity]]*$A$11+SUM(Table1[[#This Row],[Other 
Integration]:[OEM 
Integration]])*$C$11</f>
        <v/>
      </c>
      <c r="L431" s="7" t="n"/>
      <c r="M431" s="7" t="n"/>
    </row>
    <row r="432">
      <c r="A432" s="14" t="n">
        <v>416</v>
      </c>
      <c r="B432" s="14" t="n"/>
      <c r="C432" s="14" t="n"/>
      <c r="D432" s="14" t="n"/>
      <c r="E432" s="14" t="n"/>
      <c r="F432" s="14" t="n"/>
      <c r="G432" s="14" t="n"/>
      <c r="H432" s="14" t="n"/>
      <c r="I432" s="14" t="n"/>
      <c r="J432" s="16" t="n"/>
      <c r="K432" s="14">
        <f>Table1[[#This Row],[Complexity]]*$A$11+SUM(Table1[[#This Row],[Other 
Integration]:[OEM 
Integration]])*$C$11</f>
        <v/>
      </c>
      <c r="L432" s="7" t="n"/>
      <c r="M432" s="7" t="n"/>
    </row>
    <row r="433">
      <c r="A433" s="14" t="n">
        <v>417</v>
      </c>
      <c r="B433" s="14" t="n"/>
      <c r="C433" s="14" t="n"/>
      <c r="D433" s="14" t="n"/>
      <c r="E433" s="14" t="n"/>
      <c r="F433" s="14" t="n"/>
      <c r="G433" s="14" t="n"/>
      <c r="H433" s="14" t="n"/>
      <c r="I433" s="14" t="n"/>
      <c r="J433" s="16" t="n"/>
      <c r="K433" s="14">
        <f>Table1[[#This Row],[Complexity]]*$A$11+SUM(Table1[[#This Row],[Other 
Integration]:[OEM 
Integration]])*$C$11</f>
        <v/>
      </c>
      <c r="L433" s="7" t="n"/>
      <c r="M433" s="7" t="n"/>
    </row>
    <row r="434">
      <c r="A434" s="14" t="n">
        <v>418</v>
      </c>
      <c r="B434" s="14" t="n"/>
      <c r="C434" s="14" t="n"/>
      <c r="D434" s="14" t="n"/>
      <c r="E434" s="14" t="n"/>
      <c r="F434" s="14" t="n"/>
      <c r="G434" s="14" t="n"/>
      <c r="H434" s="14" t="n"/>
      <c r="I434" s="14" t="n"/>
      <c r="J434" s="16" t="n"/>
      <c r="K434" s="14">
        <f>Table1[[#This Row],[Complexity]]*$A$11+SUM(Table1[[#This Row],[Other 
Integration]:[OEM 
Integration]])*$C$11</f>
        <v/>
      </c>
      <c r="L434" s="7" t="n"/>
      <c r="M434" s="7" t="n"/>
    </row>
    <row r="435">
      <c r="A435" s="14" t="n">
        <v>419</v>
      </c>
      <c r="B435" s="14" t="n"/>
      <c r="C435" s="14" t="n"/>
      <c r="D435" s="14" t="n"/>
      <c r="E435" s="14" t="n"/>
      <c r="F435" s="14" t="n"/>
      <c r="G435" s="14" t="n"/>
      <c r="H435" s="14" t="n"/>
      <c r="I435" s="14" t="n"/>
      <c r="J435" s="16" t="n"/>
      <c r="K435" s="14">
        <f>Table1[[#This Row],[Complexity]]*$A$11+SUM(Table1[[#This Row],[Other 
Integration]:[OEM 
Integration]])*$C$11</f>
        <v/>
      </c>
      <c r="L435" s="7" t="n"/>
      <c r="M435" s="7" t="n"/>
    </row>
    <row r="436">
      <c r="A436" s="14" t="n">
        <v>420</v>
      </c>
      <c r="B436" s="14" t="n"/>
      <c r="C436" s="14" t="n"/>
      <c r="D436" s="14" t="n"/>
      <c r="E436" s="14" t="n"/>
      <c r="F436" s="14" t="n"/>
      <c r="G436" s="14" t="n"/>
      <c r="H436" s="14" t="n"/>
      <c r="I436" s="14" t="n"/>
      <c r="J436" s="16" t="n"/>
      <c r="K436" s="14">
        <f>Table1[[#This Row],[Complexity]]*$A$11+SUM(Table1[[#This Row],[Other 
Integration]:[OEM 
Integration]])*$C$11</f>
        <v/>
      </c>
      <c r="L436" s="7" t="n"/>
      <c r="M436" s="7" t="n"/>
    </row>
    <row r="437">
      <c r="A437" s="14" t="n">
        <v>421</v>
      </c>
      <c r="B437" s="14" t="n"/>
      <c r="C437" s="14" t="n"/>
      <c r="D437" s="14" t="n"/>
      <c r="E437" s="14" t="n"/>
      <c r="F437" s="14" t="n"/>
      <c r="G437" s="14" t="n"/>
      <c r="H437" s="14" t="n"/>
      <c r="I437" s="14" t="n"/>
      <c r="J437" s="16" t="n"/>
      <c r="K437" s="14">
        <f>Table1[[#This Row],[Complexity]]*$A$11+SUM(Table1[[#This Row],[Other 
Integration]:[OEM 
Integration]])*$C$11</f>
        <v/>
      </c>
      <c r="L437" s="7" t="n"/>
      <c r="M437" s="7" t="n"/>
    </row>
    <row r="438">
      <c r="A438" s="14" t="n">
        <v>422</v>
      </c>
      <c r="B438" s="14" t="n"/>
      <c r="C438" s="14" t="n"/>
      <c r="D438" s="14" t="n"/>
      <c r="E438" s="14" t="n"/>
      <c r="F438" s="14" t="n"/>
      <c r="G438" s="14" t="n"/>
      <c r="H438" s="14" t="n"/>
      <c r="I438" s="14" t="n"/>
      <c r="J438" s="16" t="n"/>
      <c r="K438" s="14">
        <f>Table1[[#This Row],[Complexity]]*$A$11+SUM(Table1[[#This Row],[Other 
Integration]:[OEM 
Integration]])*$C$11</f>
        <v/>
      </c>
      <c r="L438" s="7" t="n"/>
      <c r="M438" s="7" t="n"/>
    </row>
    <row r="439">
      <c r="A439" s="14" t="n">
        <v>423</v>
      </c>
      <c r="B439" s="14" t="n"/>
      <c r="C439" s="14" t="n"/>
      <c r="D439" s="14" t="n"/>
      <c r="E439" s="14" t="n"/>
      <c r="F439" s="14" t="n"/>
      <c r="G439" s="14" t="n"/>
      <c r="H439" s="14" t="n"/>
      <c r="I439" s="14" t="n"/>
      <c r="J439" s="16" t="n"/>
      <c r="K439" s="14">
        <f>Table1[[#This Row],[Complexity]]*$A$11+SUM(Table1[[#This Row],[Other 
Integration]:[OEM 
Integration]])*$C$11</f>
        <v/>
      </c>
      <c r="L439" s="7" t="n"/>
      <c r="M439" s="7" t="n"/>
    </row>
    <row r="440">
      <c r="A440" s="14" t="n">
        <v>424</v>
      </c>
      <c r="B440" s="14" t="n"/>
      <c r="C440" s="14" t="n"/>
      <c r="D440" s="14" t="n"/>
      <c r="E440" s="14" t="n"/>
      <c r="F440" s="14" t="n"/>
      <c r="G440" s="14" t="n"/>
      <c r="H440" s="14" t="n"/>
      <c r="I440" s="14" t="n"/>
      <c r="J440" s="16" t="n"/>
      <c r="K440" s="14">
        <f>Table1[[#This Row],[Complexity]]*$A$11+SUM(Table1[[#This Row],[Other 
Integration]:[OEM 
Integration]])*$C$11</f>
        <v/>
      </c>
      <c r="L440" s="7" t="n"/>
      <c r="M440" s="7" t="n"/>
    </row>
    <row r="441">
      <c r="A441" s="14" t="n">
        <v>425</v>
      </c>
      <c r="B441" s="14" t="n"/>
      <c r="C441" s="14" t="n"/>
      <c r="D441" s="14" t="n"/>
      <c r="E441" s="14" t="n"/>
      <c r="F441" s="14" t="n"/>
      <c r="G441" s="14" t="n"/>
      <c r="H441" s="14" t="n"/>
      <c r="I441" s="14" t="n"/>
      <c r="J441" s="16" t="n"/>
      <c r="K441" s="14">
        <f>Table1[[#This Row],[Complexity]]*$A$11+SUM(Table1[[#This Row],[Other 
Integration]:[OEM 
Integration]])*$C$11</f>
        <v/>
      </c>
      <c r="L441" s="7" t="n"/>
      <c r="M441" s="7" t="n"/>
    </row>
    <row r="442">
      <c r="A442" s="14" t="n">
        <v>426</v>
      </c>
      <c r="B442" s="14" t="n"/>
      <c r="C442" s="14" t="n"/>
      <c r="D442" s="14" t="n"/>
      <c r="E442" s="14" t="n"/>
      <c r="F442" s="14" t="n"/>
      <c r="G442" s="14" t="n"/>
      <c r="H442" s="14" t="n"/>
      <c r="I442" s="14" t="n"/>
      <c r="J442" s="16" t="n"/>
      <c r="K442" s="14">
        <f>Table1[[#This Row],[Complexity]]*$A$11+SUM(Table1[[#This Row],[Other 
Integration]:[OEM 
Integration]])*$C$11</f>
        <v/>
      </c>
      <c r="L442" s="7" t="n"/>
      <c r="M442" s="7" t="n"/>
    </row>
    <row r="443">
      <c r="A443" s="14" t="n">
        <v>427</v>
      </c>
      <c r="B443" s="14" t="n"/>
      <c r="C443" s="14" t="n"/>
      <c r="D443" s="14" t="n"/>
      <c r="E443" s="14" t="n"/>
      <c r="F443" s="14" t="n"/>
      <c r="G443" s="14" t="n"/>
      <c r="H443" s="14" t="n"/>
      <c r="I443" s="14" t="n"/>
      <c r="J443" s="16" t="n"/>
      <c r="K443" s="14">
        <f>Table1[[#This Row],[Complexity]]*$A$11+SUM(Table1[[#This Row],[Other 
Integration]:[OEM 
Integration]])*$C$11</f>
        <v/>
      </c>
      <c r="L443" s="7" t="n"/>
      <c r="M443" s="7" t="n"/>
    </row>
    <row r="444">
      <c r="A444" s="14" t="n">
        <v>428</v>
      </c>
      <c r="B444" s="14" t="n"/>
      <c r="C444" s="14" t="n"/>
      <c r="D444" s="14" t="n"/>
      <c r="E444" s="14" t="n"/>
      <c r="F444" s="14" t="n"/>
      <c r="G444" s="14" t="n"/>
      <c r="H444" s="14" t="n"/>
      <c r="I444" s="14" t="n"/>
      <c r="J444" s="16" t="n"/>
      <c r="K444" s="14">
        <f>Table1[[#This Row],[Complexity]]*$A$11+SUM(Table1[[#This Row],[Other 
Integration]:[OEM 
Integration]])*$C$11</f>
        <v/>
      </c>
      <c r="L444" s="7" t="n"/>
      <c r="M444" s="7" t="n"/>
    </row>
    <row r="445">
      <c r="A445" s="14" t="n">
        <v>429</v>
      </c>
      <c r="B445" s="14" t="n"/>
      <c r="C445" s="14" t="n"/>
      <c r="D445" s="14" t="n"/>
      <c r="E445" s="14" t="n"/>
      <c r="F445" s="14" t="n"/>
      <c r="G445" s="14" t="n"/>
      <c r="H445" s="14" t="n"/>
      <c r="I445" s="14" t="n"/>
      <c r="J445" s="16" t="n"/>
      <c r="K445" s="14">
        <f>Table1[[#This Row],[Complexity]]*$A$11+SUM(Table1[[#This Row],[Other 
Integration]:[OEM 
Integration]])*$C$11</f>
        <v/>
      </c>
      <c r="L445" s="7" t="n"/>
      <c r="M445" s="7" t="n"/>
    </row>
    <row r="446">
      <c r="A446" s="14" t="n">
        <v>430</v>
      </c>
      <c r="B446" s="14" t="n"/>
      <c r="C446" s="14" t="n"/>
      <c r="D446" s="14" t="n"/>
      <c r="E446" s="14" t="n"/>
      <c r="F446" s="14" t="n"/>
      <c r="G446" s="14" t="n"/>
      <c r="H446" s="14" t="n"/>
      <c r="I446" s="14" t="n"/>
      <c r="J446" s="16" t="n"/>
      <c r="K446" s="14">
        <f>Table1[[#This Row],[Complexity]]*$A$11+SUM(Table1[[#This Row],[Other 
Integration]:[OEM 
Integration]])*$C$11</f>
        <v/>
      </c>
      <c r="L446" s="7" t="n"/>
      <c r="M446" s="7" t="n"/>
    </row>
    <row r="447">
      <c r="A447" s="14" t="n">
        <v>431</v>
      </c>
      <c r="B447" s="14" t="n"/>
      <c r="C447" s="14" t="n"/>
      <c r="D447" s="14" t="n"/>
      <c r="E447" s="14" t="n"/>
      <c r="F447" s="14" t="n"/>
      <c r="G447" s="14" t="n"/>
      <c r="H447" s="14" t="n"/>
      <c r="I447" s="14" t="n"/>
      <c r="J447" s="16" t="n"/>
      <c r="K447" s="14">
        <f>Table1[[#This Row],[Complexity]]*$A$11+SUM(Table1[[#This Row],[Other 
Integration]:[OEM 
Integration]])*$C$11</f>
        <v/>
      </c>
      <c r="L447" s="7" t="n"/>
      <c r="M447" s="7" t="n"/>
    </row>
    <row r="448">
      <c r="A448" s="14" t="n">
        <v>432</v>
      </c>
      <c r="B448" s="14" t="n"/>
      <c r="C448" s="14" t="n"/>
      <c r="D448" s="14" t="n"/>
      <c r="E448" s="14" t="n"/>
      <c r="F448" s="14" t="n"/>
      <c r="G448" s="14" t="n"/>
      <c r="H448" s="14" t="n"/>
      <c r="I448" s="14" t="n"/>
      <c r="J448" s="16" t="n"/>
      <c r="K448" s="14">
        <f>Table1[[#This Row],[Complexity]]*$A$11+SUM(Table1[[#This Row],[Other 
Integration]:[OEM 
Integration]])*$C$11</f>
        <v/>
      </c>
      <c r="L448" s="7" t="n"/>
      <c r="M448" s="7" t="n"/>
    </row>
    <row r="449">
      <c r="A449" s="14" t="n">
        <v>433</v>
      </c>
      <c r="B449" s="14" t="n"/>
      <c r="C449" s="14" t="n"/>
      <c r="D449" s="14" t="n"/>
      <c r="E449" s="14" t="n"/>
      <c r="F449" s="14" t="n"/>
      <c r="G449" s="14" t="n"/>
      <c r="H449" s="14" t="n"/>
      <c r="I449" s="14" t="n"/>
      <c r="J449" s="16" t="n"/>
      <c r="K449" s="14">
        <f>Table1[[#This Row],[Complexity]]*$A$11+SUM(Table1[[#This Row],[Other 
Integration]:[OEM 
Integration]])*$C$11</f>
        <v/>
      </c>
      <c r="L449" s="7" t="n"/>
      <c r="M449" s="7" t="n"/>
    </row>
    <row r="450">
      <c r="A450" s="14" t="n">
        <v>434</v>
      </c>
      <c r="B450" s="14" t="n"/>
      <c r="C450" s="14" t="n"/>
      <c r="D450" s="14" t="n"/>
      <c r="E450" s="14" t="n"/>
      <c r="F450" s="14" t="n"/>
      <c r="G450" s="14" t="n"/>
      <c r="H450" s="14" t="n"/>
      <c r="I450" s="14" t="n"/>
      <c r="J450" s="16" t="n"/>
      <c r="K450" s="14">
        <f>Table1[[#This Row],[Complexity]]*$A$11+SUM(Table1[[#This Row],[Other 
Integration]:[OEM 
Integration]])*$C$11</f>
        <v/>
      </c>
      <c r="L450" s="7" t="n"/>
      <c r="M450" s="7" t="n"/>
    </row>
    <row r="451">
      <c r="A451" s="14" t="n">
        <v>435</v>
      </c>
      <c r="B451" s="14" t="n"/>
      <c r="C451" s="14" t="n"/>
      <c r="D451" s="14" t="n"/>
      <c r="E451" s="14" t="n"/>
      <c r="F451" s="14" t="n"/>
      <c r="G451" s="14" t="n"/>
      <c r="H451" s="14" t="n"/>
      <c r="I451" s="14" t="n"/>
      <c r="J451" s="16" t="n"/>
      <c r="K451" s="14">
        <f>Table1[[#This Row],[Complexity]]*$A$11+SUM(Table1[[#This Row],[Other 
Integration]:[OEM 
Integration]])*$C$11</f>
        <v/>
      </c>
      <c r="L451" s="7" t="n"/>
      <c r="M451" s="7" t="n"/>
    </row>
    <row r="452">
      <c r="A452" s="14" t="n">
        <v>436</v>
      </c>
      <c r="B452" s="14" t="n"/>
      <c r="C452" s="14" t="n"/>
      <c r="D452" s="14" t="n"/>
      <c r="E452" s="14" t="n"/>
      <c r="F452" s="14" t="n"/>
      <c r="G452" s="14" t="n"/>
      <c r="H452" s="14" t="n"/>
      <c r="I452" s="14" t="n"/>
      <c r="J452" s="16" t="n"/>
      <c r="K452" s="14">
        <f>Table1[[#This Row],[Complexity]]*$A$11+SUM(Table1[[#This Row],[Other 
Integration]:[OEM 
Integration]])*$C$11</f>
        <v/>
      </c>
      <c r="L452" s="7" t="n"/>
      <c r="M452" s="7" t="n"/>
    </row>
    <row r="453">
      <c r="A453" s="14" t="n">
        <v>437</v>
      </c>
      <c r="B453" s="14" t="n"/>
      <c r="C453" s="14" t="n"/>
      <c r="D453" s="14" t="n"/>
      <c r="E453" s="14" t="n"/>
      <c r="F453" s="14" t="n"/>
      <c r="G453" s="14" t="n"/>
      <c r="H453" s="14" t="n"/>
      <c r="I453" s="14" t="n"/>
      <c r="J453" s="16" t="n"/>
      <c r="K453" s="14">
        <f>Table1[[#This Row],[Complexity]]*$A$11+SUM(Table1[[#This Row],[Other 
Integration]:[OEM 
Integration]])*$C$11</f>
        <v/>
      </c>
      <c r="L453" s="7" t="n"/>
      <c r="M453" s="7" t="n"/>
    </row>
    <row r="454">
      <c r="A454" s="14" t="n">
        <v>438</v>
      </c>
      <c r="B454" s="14" t="n"/>
      <c r="C454" s="14" t="n"/>
      <c r="D454" s="14" t="n"/>
      <c r="E454" s="14" t="n"/>
      <c r="F454" s="14" t="n"/>
      <c r="G454" s="14" t="n"/>
      <c r="H454" s="14" t="n"/>
      <c r="I454" s="14" t="n"/>
      <c r="J454" s="16" t="n"/>
      <c r="K454" s="14">
        <f>Table1[[#This Row],[Complexity]]*$A$11+SUM(Table1[[#This Row],[Other 
Integration]:[OEM 
Integration]])*$C$11</f>
        <v/>
      </c>
      <c r="L454" s="7" t="n"/>
      <c r="M454" s="7" t="n"/>
    </row>
    <row r="455">
      <c r="A455" s="14" t="n">
        <v>439</v>
      </c>
      <c r="B455" s="14" t="n"/>
      <c r="C455" s="14" t="n"/>
      <c r="D455" s="14" t="n"/>
      <c r="E455" s="14" t="n"/>
      <c r="F455" s="14" t="n"/>
      <c r="G455" s="14" t="n"/>
      <c r="H455" s="14" t="n"/>
      <c r="I455" s="14" t="n"/>
      <c r="J455" s="16" t="n"/>
      <c r="K455" s="14">
        <f>Table1[[#This Row],[Complexity]]*$A$11+SUM(Table1[[#This Row],[Other 
Integration]:[OEM 
Integration]])*$C$11</f>
        <v/>
      </c>
      <c r="L455" s="7" t="n"/>
      <c r="M455" s="7" t="n"/>
    </row>
    <row r="456">
      <c r="A456" s="14" t="n">
        <v>440</v>
      </c>
      <c r="B456" s="14" t="n"/>
      <c r="C456" s="14" t="n"/>
      <c r="D456" s="14" t="n"/>
      <c r="E456" s="14" t="n"/>
      <c r="F456" s="14" t="n"/>
      <c r="G456" s="14" t="n"/>
      <c r="H456" s="14" t="n"/>
      <c r="I456" s="14" t="n"/>
      <c r="J456" s="16" t="n"/>
      <c r="K456" s="14">
        <f>Table1[[#This Row],[Complexity]]*$A$11+SUM(Table1[[#This Row],[Other 
Integration]:[OEM 
Integration]])*$C$11</f>
        <v/>
      </c>
      <c r="L456" s="7" t="n"/>
      <c r="M456" s="7" t="n"/>
    </row>
    <row r="457">
      <c r="A457" s="14" t="n">
        <v>441</v>
      </c>
      <c r="B457" s="14" t="n"/>
      <c r="C457" s="14" t="n"/>
      <c r="D457" s="14" t="n"/>
      <c r="E457" s="14" t="n"/>
      <c r="F457" s="14" t="n"/>
      <c r="G457" s="14" t="n"/>
      <c r="H457" s="14" t="n"/>
      <c r="I457" s="14" t="n"/>
      <c r="J457" s="16" t="n"/>
      <c r="K457" s="14">
        <f>Table1[[#This Row],[Complexity]]*$A$11+SUM(Table1[[#This Row],[Other 
Integration]:[OEM 
Integration]])*$C$11</f>
        <v/>
      </c>
      <c r="L457" s="7" t="n"/>
      <c r="M457" s="7" t="n"/>
    </row>
    <row r="458">
      <c r="A458" s="14" t="n">
        <v>442</v>
      </c>
      <c r="B458" s="14" t="n"/>
      <c r="C458" s="14" t="n"/>
      <c r="D458" s="14" t="n"/>
      <c r="E458" s="14" t="n"/>
      <c r="F458" s="14" t="n"/>
      <c r="G458" s="14" t="n"/>
      <c r="H458" s="14" t="n"/>
      <c r="I458" s="14" t="n"/>
      <c r="J458" s="16" t="n"/>
      <c r="K458" s="14">
        <f>Table1[[#This Row],[Complexity]]*$A$11+SUM(Table1[[#This Row],[Other 
Integration]:[OEM 
Integration]])*$C$11</f>
        <v/>
      </c>
      <c r="L458" s="7" t="n"/>
      <c r="M458" s="7" t="n"/>
    </row>
    <row r="459">
      <c r="A459" s="14" t="n">
        <v>443</v>
      </c>
      <c r="B459" s="14" t="n"/>
      <c r="C459" s="14" t="n"/>
      <c r="D459" s="14" t="n"/>
      <c r="E459" s="14" t="n"/>
      <c r="F459" s="14" t="n"/>
      <c r="G459" s="14" t="n"/>
      <c r="H459" s="14" t="n"/>
      <c r="I459" s="14" t="n"/>
      <c r="J459" s="16" t="n"/>
      <c r="K459" s="14">
        <f>Table1[[#This Row],[Complexity]]*$A$11+SUM(Table1[[#This Row],[Other 
Integration]:[OEM 
Integration]])*$C$11</f>
        <v/>
      </c>
      <c r="L459" s="7" t="n"/>
      <c r="M459" s="7" t="n"/>
    </row>
    <row r="460">
      <c r="A460" s="14" t="n">
        <v>444</v>
      </c>
      <c r="B460" s="14" t="n"/>
      <c r="C460" s="14" t="n"/>
      <c r="D460" s="14" t="n"/>
      <c r="E460" s="14" t="n"/>
      <c r="F460" s="14" t="n"/>
      <c r="G460" s="14" t="n"/>
      <c r="H460" s="14" t="n"/>
      <c r="I460" s="14" t="n"/>
      <c r="J460" s="16" t="n"/>
      <c r="K460" s="14">
        <f>Table1[[#This Row],[Complexity]]*$A$11+SUM(Table1[[#This Row],[Other 
Integration]:[OEM 
Integration]])*$C$11</f>
        <v/>
      </c>
      <c r="L460" s="7" t="n"/>
      <c r="M460" s="7" t="n"/>
    </row>
    <row r="461">
      <c r="A461" s="14" t="n">
        <v>445</v>
      </c>
      <c r="B461" s="14" t="n"/>
      <c r="C461" s="14" t="n"/>
      <c r="D461" s="14" t="n"/>
      <c r="E461" s="14" t="n"/>
      <c r="F461" s="14" t="n"/>
      <c r="G461" s="14" t="n"/>
      <c r="H461" s="14" t="n"/>
      <c r="I461" s="14" t="n"/>
      <c r="J461" s="16" t="n"/>
      <c r="K461" s="14">
        <f>Table1[[#This Row],[Complexity]]*$A$11+SUM(Table1[[#This Row],[Other 
Integration]:[OEM 
Integration]])*$C$11</f>
        <v/>
      </c>
      <c r="L461" s="7" t="n"/>
      <c r="M461" s="7" t="n"/>
    </row>
    <row r="462">
      <c r="A462" s="14" t="n">
        <v>446</v>
      </c>
      <c r="B462" s="14" t="n"/>
      <c r="C462" s="14" t="n"/>
      <c r="D462" s="14" t="n"/>
      <c r="E462" s="14" t="n"/>
      <c r="F462" s="14" t="n"/>
      <c r="G462" s="14" t="n"/>
      <c r="H462" s="14" t="n"/>
      <c r="I462" s="14" t="n"/>
      <c r="J462" s="16" t="n"/>
      <c r="K462" s="14">
        <f>Table1[[#This Row],[Complexity]]*$A$11+SUM(Table1[[#This Row],[Other 
Integration]:[OEM 
Integration]])*$C$11</f>
        <v/>
      </c>
      <c r="L462" s="7" t="n"/>
      <c r="M462" s="7" t="n"/>
    </row>
    <row r="463">
      <c r="A463" s="14" t="n">
        <v>447</v>
      </c>
      <c r="B463" s="14" t="n"/>
      <c r="C463" s="14" t="n"/>
      <c r="D463" s="14" t="n"/>
      <c r="E463" s="14" t="n"/>
      <c r="F463" s="14" t="n"/>
      <c r="G463" s="14" t="n"/>
      <c r="H463" s="14" t="n"/>
      <c r="I463" s="14" t="n"/>
      <c r="J463" s="16" t="n"/>
      <c r="K463" s="14">
        <f>Table1[[#This Row],[Complexity]]*$A$11+SUM(Table1[[#This Row],[Other 
Integration]:[OEM 
Integration]])*$C$11</f>
        <v/>
      </c>
      <c r="L463" s="7" t="n"/>
      <c r="M463" s="7" t="n"/>
    </row>
    <row r="464">
      <c r="A464" s="14" t="n">
        <v>448</v>
      </c>
      <c r="B464" s="14" t="n"/>
      <c r="C464" s="14" t="n"/>
      <c r="D464" s="14" t="n"/>
      <c r="E464" s="14" t="n"/>
      <c r="F464" s="14" t="n"/>
      <c r="G464" s="14" t="n"/>
      <c r="H464" s="14" t="n"/>
      <c r="I464" s="14" t="n"/>
      <c r="J464" s="16" t="n"/>
      <c r="K464" s="14">
        <f>Table1[[#This Row],[Complexity]]*$A$11+SUM(Table1[[#This Row],[Other 
Integration]:[OEM 
Integration]])*$C$11</f>
        <v/>
      </c>
      <c r="L464" s="7" t="n"/>
      <c r="M464" s="7" t="n"/>
    </row>
    <row r="465">
      <c r="A465" s="14" t="n">
        <v>449</v>
      </c>
      <c r="B465" s="14" t="n"/>
      <c r="C465" s="14" t="n"/>
      <c r="D465" s="14" t="n"/>
      <c r="E465" s="14" t="n"/>
      <c r="F465" s="14" t="n"/>
      <c r="G465" s="14" t="n"/>
      <c r="H465" s="14" t="n"/>
      <c r="I465" s="14" t="n"/>
      <c r="J465" s="16" t="n"/>
      <c r="K465" s="14">
        <f>Table1[[#This Row],[Complexity]]*$A$11+SUM(Table1[[#This Row],[Other 
Integration]:[OEM 
Integration]])*$C$11</f>
        <v/>
      </c>
      <c r="L465" s="7" t="n"/>
      <c r="M465" s="7" t="n"/>
    </row>
    <row r="466">
      <c r="A466" s="14" t="n">
        <v>450</v>
      </c>
      <c r="B466" s="14" t="n"/>
      <c r="C466" s="14" t="n"/>
      <c r="D466" s="14" t="n"/>
      <c r="E466" s="14" t="n"/>
      <c r="F466" s="14" t="n"/>
      <c r="G466" s="14" t="n"/>
      <c r="H466" s="14" t="n"/>
      <c r="I466" s="14" t="n"/>
      <c r="J466" s="16" t="n"/>
      <c r="K466" s="14">
        <f>Table1[[#This Row],[Complexity]]*$A$11+SUM(Table1[[#This Row],[Other 
Integration]:[OEM 
Integration]])*$C$11</f>
        <v/>
      </c>
      <c r="L466" s="7" t="n"/>
      <c r="M466" s="7" t="n"/>
    </row>
    <row r="467">
      <c r="A467" s="14" t="n">
        <v>451</v>
      </c>
      <c r="B467" s="14" t="n"/>
      <c r="C467" s="14" t="n"/>
      <c r="D467" s="14" t="n"/>
      <c r="E467" s="14" t="n"/>
      <c r="F467" s="14" t="n"/>
      <c r="G467" s="14" t="n"/>
      <c r="H467" s="14" t="n"/>
      <c r="I467" s="14" t="n"/>
      <c r="J467" s="16" t="n"/>
      <c r="K467" s="14">
        <f>Table1[[#This Row],[Complexity]]*$A$11+SUM(Table1[[#This Row],[Other 
Integration]:[OEM 
Integration]])*$C$11</f>
        <v/>
      </c>
      <c r="L467" s="7" t="n"/>
      <c r="M467" s="7" t="n"/>
    </row>
    <row r="468">
      <c r="A468" s="14" t="n">
        <v>452</v>
      </c>
      <c r="B468" s="14" t="n"/>
      <c r="C468" s="14" t="n"/>
      <c r="D468" s="14" t="n"/>
      <c r="E468" s="14" t="n"/>
      <c r="F468" s="14" t="n"/>
      <c r="G468" s="14" t="n"/>
      <c r="H468" s="14" t="n"/>
      <c r="I468" s="14" t="n"/>
      <c r="J468" s="16" t="n"/>
      <c r="K468" s="14">
        <f>Table1[[#This Row],[Complexity]]*$A$11+SUM(Table1[[#This Row],[Other 
Integration]:[OEM 
Integration]])*$C$11</f>
        <v/>
      </c>
      <c r="L468" s="7" t="n"/>
      <c r="M468" s="7" t="n"/>
    </row>
    <row r="469">
      <c r="A469" s="14" t="n">
        <v>453</v>
      </c>
      <c r="B469" s="14" t="n"/>
      <c r="C469" s="14" t="n"/>
      <c r="D469" s="14" t="n"/>
      <c r="E469" s="14" t="n"/>
      <c r="F469" s="14" t="n"/>
      <c r="G469" s="14" t="n"/>
      <c r="H469" s="14" t="n"/>
      <c r="I469" s="14" t="n"/>
      <c r="J469" s="16" t="n"/>
      <c r="K469" s="14">
        <f>Table1[[#This Row],[Complexity]]*$A$11+SUM(Table1[[#This Row],[Other 
Integration]:[OEM 
Integration]])*$C$11</f>
        <v/>
      </c>
      <c r="L469" s="7" t="n"/>
      <c r="M469" s="7" t="n"/>
    </row>
    <row r="470">
      <c r="A470" s="14" t="n">
        <v>454</v>
      </c>
      <c r="B470" s="14" t="n"/>
      <c r="C470" s="14" t="n"/>
      <c r="D470" s="14" t="n"/>
      <c r="E470" s="14" t="n"/>
      <c r="F470" s="14" t="n"/>
      <c r="G470" s="14" t="n"/>
      <c r="H470" s="14" t="n"/>
      <c r="I470" s="14" t="n"/>
      <c r="J470" s="16" t="n"/>
      <c r="K470" s="14">
        <f>Table1[[#This Row],[Complexity]]*$A$11+SUM(Table1[[#This Row],[Other 
Integration]:[OEM 
Integration]])*$C$11</f>
        <v/>
      </c>
      <c r="L470" s="7" t="n"/>
      <c r="M470" s="7" t="n"/>
    </row>
    <row r="471">
      <c r="A471" s="14" t="n">
        <v>455</v>
      </c>
      <c r="B471" s="14" t="n"/>
      <c r="C471" s="14" t="n"/>
      <c r="D471" s="14" t="n"/>
      <c r="E471" s="14" t="n"/>
      <c r="F471" s="14" t="n"/>
      <c r="G471" s="14" t="n"/>
      <c r="H471" s="14" t="n"/>
      <c r="I471" s="14" t="n"/>
      <c r="J471" s="16" t="n"/>
      <c r="K471" s="14">
        <f>Table1[[#This Row],[Complexity]]*$A$11+SUM(Table1[[#This Row],[Other 
Integration]:[OEM 
Integration]])*$C$11</f>
        <v/>
      </c>
      <c r="L471" s="7" t="n"/>
      <c r="M471" s="7" t="n"/>
    </row>
    <row r="472">
      <c r="A472" s="14" t="n">
        <v>456</v>
      </c>
      <c r="B472" s="14" t="n"/>
      <c r="C472" s="14" t="n"/>
      <c r="D472" s="14" t="n"/>
      <c r="E472" s="14" t="n"/>
      <c r="F472" s="14" t="n"/>
      <c r="G472" s="14" t="n"/>
      <c r="H472" s="14" t="n"/>
      <c r="I472" s="14" t="n"/>
      <c r="J472" s="16" t="n"/>
      <c r="K472" s="14">
        <f>Table1[[#This Row],[Complexity]]*$A$11+SUM(Table1[[#This Row],[Other 
Integration]:[OEM 
Integration]])*$C$11</f>
        <v/>
      </c>
      <c r="L472" s="7" t="n"/>
      <c r="M472" s="7" t="n"/>
    </row>
    <row r="473">
      <c r="A473" s="14" t="n">
        <v>457</v>
      </c>
      <c r="B473" s="14" t="n"/>
      <c r="C473" s="14" t="n"/>
      <c r="D473" s="14" t="n"/>
      <c r="E473" s="14" t="n"/>
      <c r="F473" s="14" t="n"/>
      <c r="G473" s="14" t="n"/>
      <c r="H473" s="14" t="n"/>
      <c r="I473" s="14" t="n"/>
      <c r="J473" s="16" t="n"/>
      <c r="K473" s="14">
        <f>Table1[[#This Row],[Complexity]]*$A$11+SUM(Table1[[#This Row],[Other 
Integration]:[OEM 
Integration]])*$C$11</f>
        <v/>
      </c>
      <c r="L473" s="7" t="n"/>
      <c r="M473" s="7" t="n"/>
    </row>
    <row r="474">
      <c r="A474" s="14" t="n">
        <v>458</v>
      </c>
      <c r="B474" s="14" t="n"/>
      <c r="C474" s="14" t="n"/>
      <c r="D474" s="14" t="n"/>
      <c r="E474" s="14" t="n"/>
      <c r="F474" s="14" t="n"/>
      <c r="G474" s="14" t="n"/>
      <c r="H474" s="14" t="n"/>
      <c r="I474" s="14" t="n"/>
      <c r="J474" s="16" t="n"/>
      <c r="K474" s="14">
        <f>Table1[[#This Row],[Complexity]]*$A$11+SUM(Table1[[#This Row],[Other 
Integration]:[OEM 
Integration]])*$C$11</f>
        <v/>
      </c>
      <c r="L474" s="7" t="n"/>
      <c r="M474" s="7" t="n"/>
    </row>
    <row r="475">
      <c r="A475" s="14" t="n">
        <v>459</v>
      </c>
      <c r="B475" s="14" t="n"/>
      <c r="C475" s="14" t="n"/>
      <c r="D475" s="14" t="n"/>
      <c r="E475" s="14" t="n"/>
      <c r="F475" s="14" t="n"/>
      <c r="G475" s="14" t="n"/>
      <c r="H475" s="14" t="n"/>
      <c r="I475" s="14" t="n"/>
      <c r="J475" s="16" t="n"/>
      <c r="K475" s="14">
        <f>Table1[[#This Row],[Complexity]]*$A$11+SUM(Table1[[#This Row],[Other 
Integration]:[OEM 
Integration]])*$C$11</f>
        <v/>
      </c>
      <c r="L475" s="7" t="n"/>
      <c r="M475" s="7" t="n"/>
    </row>
    <row r="476">
      <c r="A476" s="14" t="n">
        <v>460</v>
      </c>
      <c r="B476" s="14" t="n"/>
      <c r="C476" s="14" t="n"/>
      <c r="D476" s="14" t="n"/>
      <c r="E476" s="14" t="n"/>
      <c r="F476" s="14" t="n"/>
      <c r="G476" s="14" t="n"/>
      <c r="H476" s="14" t="n"/>
      <c r="I476" s="14" t="n"/>
      <c r="J476" s="16" t="n"/>
      <c r="K476" s="14">
        <f>Table1[[#This Row],[Complexity]]*$A$11+SUM(Table1[[#This Row],[Other 
Integration]:[OEM 
Integration]])*$C$11</f>
        <v/>
      </c>
      <c r="L476" s="7" t="n"/>
      <c r="M476" s="7" t="n"/>
    </row>
    <row r="477">
      <c r="A477" s="14" t="n">
        <v>461</v>
      </c>
      <c r="B477" s="14" t="n"/>
      <c r="C477" s="14" t="n"/>
      <c r="D477" s="14" t="n"/>
      <c r="E477" s="14" t="n"/>
      <c r="F477" s="14" t="n"/>
      <c r="G477" s="14" t="n"/>
      <c r="H477" s="14" t="n"/>
      <c r="I477" s="14" t="n"/>
      <c r="J477" s="16" t="n"/>
      <c r="K477" s="14">
        <f>Table1[[#This Row],[Complexity]]*$A$11+SUM(Table1[[#This Row],[Other 
Integration]:[OEM 
Integration]])*$C$11</f>
        <v/>
      </c>
      <c r="L477" s="7" t="n"/>
      <c r="M477" s="7" t="n"/>
    </row>
    <row r="478">
      <c r="A478" s="14" t="n">
        <v>462</v>
      </c>
      <c r="B478" s="14" t="n"/>
      <c r="C478" s="14" t="n"/>
      <c r="D478" s="14" t="n"/>
      <c r="E478" s="14" t="n"/>
      <c r="F478" s="14" t="n"/>
      <c r="G478" s="14" t="n"/>
      <c r="H478" s="14" t="n"/>
      <c r="I478" s="14" t="n"/>
      <c r="J478" s="16" t="n"/>
      <c r="K478" s="14">
        <f>Table1[[#This Row],[Complexity]]*$A$11+SUM(Table1[[#This Row],[Other 
Integration]:[OEM 
Integration]])*$C$11</f>
        <v/>
      </c>
      <c r="L478" s="7" t="n"/>
      <c r="M478" s="7" t="n"/>
    </row>
    <row r="479">
      <c r="A479" s="14" t="n">
        <v>463</v>
      </c>
      <c r="B479" s="14" t="n"/>
      <c r="C479" s="14" t="n"/>
      <c r="D479" s="14" t="n"/>
      <c r="E479" s="14" t="n"/>
      <c r="F479" s="14" t="n"/>
      <c r="G479" s="14" t="n"/>
      <c r="H479" s="14" t="n"/>
      <c r="I479" s="14" t="n"/>
      <c r="J479" s="16" t="n"/>
      <c r="K479" s="14">
        <f>Table1[[#This Row],[Complexity]]*$A$11+SUM(Table1[[#This Row],[Other 
Integration]:[OEM 
Integration]])*$C$11</f>
        <v/>
      </c>
      <c r="L479" s="7" t="n"/>
      <c r="M479" s="7" t="n"/>
    </row>
    <row r="480">
      <c r="A480" s="14" t="n">
        <v>464</v>
      </c>
      <c r="B480" s="14" t="n"/>
      <c r="C480" s="14" t="n"/>
      <c r="D480" s="14" t="n"/>
      <c r="E480" s="14" t="n"/>
      <c r="F480" s="14" t="n"/>
      <c r="G480" s="14" t="n"/>
      <c r="H480" s="14" t="n"/>
      <c r="I480" s="14" t="n"/>
      <c r="J480" s="16" t="n"/>
      <c r="K480" s="14">
        <f>Table1[[#This Row],[Complexity]]*$A$11+SUM(Table1[[#This Row],[Other 
Integration]:[OEM 
Integration]])*$C$11</f>
        <v/>
      </c>
      <c r="L480" s="7" t="n"/>
      <c r="M480" s="7" t="n"/>
    </row>
    <row r="481">
      <c r="A481" s="14" t="n">
        <v>465</v>
      </c>
      <c r="B481" s="14" t="n"/>
      <c r="C481" s="14" t="n"/>
      <c r="D481" s="14" t="n"/>
      <c r="E481" s="14" t="n"/>
      <c r="F481" s="14" t="n"/>
      <c r="G481" s="14" t="n"/>
      <c r="H481" s="14" t="n"/>
      <c r="I481" s="14" t="n"/>
      <c r="J481" s="16" t="n"/>
      <c r="K481" s="14">
        <f>Table1[[#This Row],[Complexity]]*$A$11+SUM(Table1[[#This Row],[Other 
Integration]:[OEM 
Integration]])*$C$11</f>
        <v/>
      </c>
      <c r="L481" s="7" t="n"/>
      <c r="M481" s="7" t="n"/>
    </row>
    <row r="482">
      <c r="A482" s="14" t="n">
        <v>466</v>
      </c>
      <c r="B482" s="14" t="n"/>
      <c r="C482" s="14" t="n"/>
      <c r="D482" s="14" t="n"/>
      <c r="E482" s="14" t="n"/>
      <c r="F482" s="14" t="n"/>
      <c r="G482" s="14" t="n"/>
      <c r="H482" s="14" t="n"/>
      <c r="I482" s="14" t="n"/>
      <c r="J482" s="16" t="n"/>
      <c r="K482" s="14">
        <f>Table1[[#This Row],[Complexity]]*$A$11+SUM(Table1[[#This Row],[Other 
Integration]:[OEM 
Integration]])*$C$11</f>
        <v/>
      </c>
      <c r="L482" s="7" t="n"/>
      <c r="M482" s="7" t="n"/>
    </row>
    <row r="483">
      <c r="A483" s="14" t="n">
        <v>467</v>
      </c>
      <c r="B483" s="14" t="n"/>
      <c r="C483" s="14" t="n"/>
      <c r="D483" s="14" t="n"/>
      <c r="E483" s="14" t="n"/>
      <c r="F483" s="14" t="n"/>
      <c r="G483" s="14" t="n"/>
      <c r="H483" s="14" t="n"/>
      <c r="I483" s="14" t="n"/>
      <c r="J483" s="16" t="n"/>
      <c r="K483" s="14">
        <f>Table1[[#This Row],[Complexity]]*$A$11+SUM(Table1[[#This Row],[Other 
Integration]:[OEM 
Integration]])*$C$11</f>
        <v/>
      </c>
      <c r="L483" s="7" t="n"/>
      <c r="M483" s="7" t="n"/>
    </row>
    <row r="484">
      <c r="A484" s="14" t="n">
        <v>468</v>
      </c>
      <c r="B484" s="14" t="n"/>
      <c r="C484" s="14" t="n"/>
      <c r="D484" s="14" t="n"/>
      <c r="E484" s="14" t="n"/>
      <c r="F484" s="14" t="n"/>
      <c r="G484" s="14" t="n"/>
      <c r="H484" s="14" t="n"/>
      <c r="I484" s="14" t="n"/>
      <c r="J484" s="16" t="n"/>
      <c r="K484" s="14">
        <f>Table1[[#This Row],[Complexity]]*$A$11+SUM(Table1[[#This Row],[Other 
Integration]:[OEM 
Integration]])*$C$11</f>
        <v/>
      </c>
      <c r="L484" s="7" t="n"/>
      <c r="M484" s="7" t="n"/>
    </row>
    <row r="485">
      <c r="A485" s="14" t="n">
        <v>469</v>
      </c>
      <c r="B485" s="14" t="n"/>
      <c r="C485" s="14" t="n"/>
      <c r="D485" s="14" t="n"/>
      <c r="E485" s="14" t="n"/>
      <c r="F485" s="14" t="n"/>
      <c r="G485" s="14" t="n"/>
      <c r="H485" s="14" t="n"/>
      <c r="I485" s="14" t="n"/>
      <c r="J485" s="16" t="n"/>
      <c r="K485" s="14">
        <f>Table1[[#This Row],[Complexity]]*$A$11+SUM(Table1[[#This Row],[Other 
Integration]:[OEM 
Integration]])*$C$11</f>
        <v/>
      </c>
      <c r="L485" s="7" t="n"/>
      <c r="M485" s="7" t="n"/>
    </row>
    <row r="486">
      <c r="A486" s="14" t="n">
        <v>470</v>
      </c>
      <c r="B486" s="14" t="n"/>
      <c r="C486" s="14" t="n"/>
      <c r="D486" s="14" t="n"/>
      <c r="E486" s="14" t="n"/>
      <c r="F486" s="14" t="n"/>
      <c r="G486" s="14" t="n"/>
      <c r="H486" s="14" t="n"/>
      <c r="I486" s="14" t="n"/>
      <c r="J486" s="16" t="n"/>
      <c r="K486" s="14">
        <f>Table1[[#This Row],[Complexity]]*$A$11+SUM(Table1[[#This Row],[Other 
Integration]:[OEM 
Integration]])*$C$11</f>
        <v/>
      </c>
      <c r="L486" s="7" t="n"/>
      <c r="M486" s="7" t="n"/>
    </row>
    <row r="487">
      <c r="A487" s="14" t="n">
        <v>471</v>
      </c>
      <c r="B487" s="14" t="n"/>
      <c r="C487" s="14" t="n"/>
      <c r="D487" s="14" t="n"/>
      <c r="E487" s="14" t="n"/>
      <c r="F487" s="14" t="n"/>
      <c r="G487" s="14" t="n"/>
      <c r="H487" s="14" t="n"/>
      <c r="I487" s="14" t="n"/>
      <c r="J487" s="16" t="n"/>
      <c r="K487" s="14">
        <f>Table1[[#This Row],[Complexity]]*$A$11+SUM(Table1[[#This Row],[Other 
Integration]:[OEM 
Integration]])*$C$11</f>
        <v/>
      </c>
      <c r="L487" s="7" t="n"/>
      <c r="M487" s="7" t="n"/>
    </row>
    <row r="488">
      <c r="A488" s="14" t="n">
        <v>472</v>
      </c>
      <c r="B488" s="14" t="n"/>
      <c r="C488" s="14" t="n"/>
      <c r="D488" s="14" t="n"/>
      <c r="E488" s="14" t="n"/>
      <c r="F488" s="14" t="n"/>
      <c r="G488" s="14" t="n"/>
      <c r="H488" s="14" t="n"/>
      <c r="I488" s="14" t="n"/>
      <c r="J488" s="16" t="n"/>
      <c r="K488" s="14">
        <f>Table1[[#This Row],[Complexity]]*$A$11+SUM(Table1[[#This Row],[Other 
Integration]:[OEM 
Integration]])*$C$11</f>
        <v/>
      </c>
      <c r="L488" s="7" t="n"/>
      <c r="M488" s="7" t="n"/>
    </row>
    <row r="489">
      <c r="A489" s="14" t="n">
        <v>473</v>
      </c>
      <c r="B489" s="14" t="n"/>
      <c r="C489" s="14" t="n"/>
      <c r="D489" s="14" t="n"/>
      <c r="E489" s="14" t="n"/>
      <c r="F489" s="14" t="n"/>
      <c r="G489" s="14" t="n"/>
      <c r="H489" s="14" t="n"/>
      <c r="I489" s="14" t="n"/>
      <c r="J489" s="16" t="n"/>
      <c r="K489" s="14">
        <f>Table1[[#This Row],[Complexity]]*$A$11+SUM(Table1[[#This Row],[Other 
Integration]:[OEM 
Integration]])*$C$11</f>
        <v/>
      </c>
      <c r="L489" s="7" t="n"/>
      <c r="M489" s="7" t="n"/>
    </row>
    <row r="490">
      <c r="A490" s="14" t="n">
        <v>474</v>
      </c>
      <c r="B490" s="14" t="n"/>
      <c r="C490" s="14" t="n"/>
      <c r="D490" s="14" t="n"/>
      <c r="E490" s="14" t="n"/>
      <c r="F490" s="14" t="n"/>
      <c r="G490" s="14" t="n"/>
      <c r="H490" s="14" t="n"/>
      <c r="I490" s="14" t="n"/>
      <c r="J490" s="16" t="n"/>
      <c r="K490" s="14">
        <f>Table1[[#This Row],[Complexity]]*$A$11+SUM(Table1[[#This Row],[Other 
Integration]:[OEM 
Integration]])*$C$11</f>
        <v/>
      </c>
      <c r="L490" s="7" t="n"/>
      <c r="M490" s="7" t="n"/>
    </row>
    <row r="491">
      <c r="A491" s="14" t="n">
        <v>475</v>
      </c>
      <c r="B491" s="14" t="n"/>
      <c r="C491" s="14" t="n"/>
      <c r="D491" s="14" t="n"/>
      <c r="E491" s="14" t="n"/>
      <c r="F491" s="14" t="n"/>
      <c r="G491" s="14" t="n"/>
      <c r="H491" s="14" t="n"/>
      <c r="I491" s="14" t="n"/>
      <c r="J491" s="16" t="n"/>
      <c r="K491" s="14">
        <f>Table1[[#This Row],[Complexity]]*$A$11+SUM(Table1[[#This Row],[Other 
Integration]:[OEM 
Integration]])*$C$11</f>
        <v/>
      </c>
      <c r="L491" s="7" t="n"/>
      <c r="M491" s="7" t="n"/>
    </row>
    <row r="492">
      <c r="A492" s="14" t="n">
        <v>476</v>
      </c>
      <c r="B492" s="14" t="n"/>
      <c r="C492" s="14" t="n"/>
      <c r="D492" s="14" t="n"/>
      <c r="E492" s="14" t="n"/>
      <c r="F492" s="14" t="n"/>
      <c r="G492" s="14" t="n"/>
      <c r="H492" s="14" t="n"/>
      <c r="I492" s="14" t="n"/>
      <c r="J492" s="16" t="n"/>
      <c r="K492" s="14">
        <f>Table1[[#This Row],[Complexity]]*$A$11+SUM(Table1[[#This Row],[Other 
Integration]:[OEM 
Integration]])*$C$11</f>
        <v/>
      </c>
      <c r="L492" s="7" t="n"/>
      <c r="M492" s="7" t="n"/>
    </row>
    <row r="493">
      <c r="A493" s="14" t="n">
        <v>477</v>
      </c>
      <c r="B493" s="14" t="n"/>
      <c r="C493" s="14" t="n"/>
      <c r="D493" s="14" t="n"/>
      <c r="E493" s="14" t="n"/>
      <c r="F493" s="14" t="n"/>
      <c r="G493" s="14" t="n"/>
      <c r="H493" s="14" t="n"/>
      <c r="I493" s="14" t="n"/>
      <c r="J493" s="16" t="n"/>
      <c r="K493" s="14">
        <f>Table1[[#This Row],[Complexity]]*$A$11+SUM(Table1[[#This Row],[Other 
Integration]:[OEM 
Integration]])*$C$11</f>
        <v/>
      </c>
      <c r="L493" s="7" t="n"/>
      <c r="M493" s="7" t="n"/>
    </row>
    <row r="494">
      <c r="A494" s="14" t="n">
        <v>478</v>
      </c>
      <c r="B494" s="14" t="n"/>
      <c r="C494" s="14" t="n"/>
      <c r="D494" s="14" t="n"/>
      <c r="E494" s="14" t="n"/>
      <c r="F494" s="14" t="n"/>
      <c r="G494" s="14" t="n"/>
      <c r="H494" s="14" t="n"/>
      <c r="I494" s="14" t="n"/>
      <c r="J494" s="16" t="n"/>
      <c r="K494" s="14">
        <f>Table1[[#This Row],[Complexity]]*$A$11+SUM(Table1[[#This Row],[Other 
Integration]:[OEM 
Integration]])*$C$11</f>
        <v/>
      </c>
      <c r="L494" s="7" t="n"/>
      <c r="M494" s="7" t="n"/>
    </row>
    <row r="495">
      <c r="A495" s="14" t="n">
        <v>479</v>
      </c>
      <c r="B495" s="14" t="n"/>
      <c r="C495" s="14" t="n"/>
      <c r="D495" s="14" t="n"/>
      <c r="E495" s="14" t="n"/>
      <c r="F495" s="14" t="n"/>
      <c r="G495" s="14" t="n"/>
      <c r="H495" s="14" t="n"/>
      <c r="I495" s="14" t="n"/>
      <c r="J495" s="16" t="n"/>
      <c r="K495" s="14">
        <f>Table1[[#This Row],[Complexity]]*$A$11+SUM(Table1[[#This Row],[Other 
Integration]:[OEM 
Integration]])*$C$11</f>
        <v/>
      </c>
      <c r="L495" s="7" t="n"/>
      <c r="M495" s="7" t="n"/>
    </row>
    <row r="496">
      <c r="A496" s="14" t="n">
        <v>480</v>
      </c>
      <c r="B496" s="14" t="n"/>
      <c r="C496" s="14" t="n"/>
      <c r="D496" s="14" t="n"/>
      <c r="E496" s="14" t="n"/>
      <c r="F496" s="14" t="n"/>
      <c r="G496" s="14" t="n"/>
      <c r="H496" s="14" t="n"/>
      <c r="I496" s="14" t="n"/>
      <c r="J496" s="16" t="n"/>
      <c r="K496" s="14">
        <f>Table1[[#This Row],[Complexity]]*$A$11+SUM(Table1[[#This Row],[Other 
Integration]:[OEM 
Integration]])*$C$11</f>
        <v/>
      </c>
      <c r="L496" s="7" t="n"/>
      <c r="M496" s="7" t="n"/>
    </row>
    <row r="497">
      <c r="A497" s="14" t="n">
        <v>481</v>
      </c>
      <c r="B497" s="14" t="n"/>
      <c r="C497" s="14" t="n"/>
      <c r="D497" s="14" t="n"/>
      <c r="E497" s="14" t="n"/>
      <c r="F497" s="14" t="n"/>
      <c r="G497" s="14" t="n"/>
      <c r="H497" s="14" t="n"/>
      <c r="I497" s="14" t="n"/>
      <c r="J497" s="16" t="n"/>
      <c r="K497" s="14">
        <f>Table1[[#This Row],[Complexity]]*$A$11+SUM(Table1[[#This Row],[Other 
Integration]:[OEM 
Integration]])*$C$11</f>
        <v/>
      </c>
      <c r="L497" s="7" t="n"/>
      <c r="M497" s="7" t="n"/>
    </row>
    <row r="498">
      <c r="A498" s="14" t="n">
        <v>482</v>
      </c>
      <c r="B498" s="14" t="n"/>
      <c r="C498" s="14" t="n"/>
      <c r="D498" s="14" t="n"/>
      <c r="E498" s="14" t="n"/>
      <c r="F498" s="14" t="n"/>
      <c r="G498" s="14" t="n"/>
      <c r="H498" s="14" t="n"/>
      <c r="I498" s="14" t="n"/>
      <c r="J498" s="16" t="n"/>
      <c r="K498" s="14">
        <f>Table1[[#This Row],[Complexity]]*$A$11+SUM(Table1[[#This Row],[Other 
Integration]:[OEM 
Integration]])*$C$11</f>
        <v/>
      </c>
      <c r="L498" s="7" t="n"/>
      <c r="M498" s="7" t="n"/>
    </row>
    <row r="499">
      <c r="A499" s="14" t="n">
        <v>483</v>
      </c>
      <c r="B499" s="14" t="n"/>
      <c r="C499" s="14" t="n"/>
      <c r="D499" s="14" t="n"/>
      <c r="E499" s="14" t="n"/>
      <c r="F499" s="14" t="n"/>
      <c r="G499" s="14" t="n"/>
      <c r="H499" s="14" t="n"/>
      <c r="I499" s="14" t="n"/>
      <c r="J499" s="16" t="n"/>
      <c r="K499" s="14">
        <f>Table1[[#This Row],[Complexity]]*$A$11+SUM(Table1[[#This Row],[Other 
Integration]:[OEM 
Integration]])*$C$11</f>
        <v/>
      </c>
      <c r="L499" s="7" t="n"/>
      <c r="M499" s="7" t="n"/>
    </row>
    <row r="500">
      <c r="A500" s="14" t="n">
        <v>484</v>
      </c>
      <c r="B500" s="14" t="n"/>
      <c r="C500" s="14" t="n"/>
      <c r="D500" s="14" t="n"/>
      <c r="E500" s="14" t="n"/>
      <c r="F500" s="14" t="n"/>
      <c r="G500" s="14" t="n"/>
      <c r="H500" s="14" t="n"/>
      <c r="I500" s="14" t="n"/>
      <c r="J500" s="16" t="n"/>
      <c r="K500" s="14">
        <f>Table1[[#This Row],[Complexity]]*$A$11+SUM(Table1[[#This Row],[Other 
Integration]:[OEM 
Integration]])*$C$11</f>
        <v/>
      </c>
      <c r="L500" s="7" t="n"/>
      <c r="M500" s="7" t="n"/>
    </row>
    <row r="501">
      <c r="A501" s="14" t="n">
        <v>485</v>
      </c>
      <c r="B501" s="14" t="n"/>
      <c r="C501" s="14" t="n"/>
      <c r="D501" s="14" t="n"/>
      <c r="E501" s="14" t="n"/>
      <c r="F501" s="14" t="n"/>
      <c r="G501" s="14" t="n"/>
      <c r="H501" s="14" t="n"/>
      <c r="I501" s="14" t="n"/>
      <c r="J501" s="16" t="n"/>
      <c r="K501" s="14">
        <f>Table1[[#This Row],[Complexity]]*$A$11+SUM(Table1[[#This Row],[Other 
Integration]:[OEM 
Integration]])*$C$11</f>
        <v/>
      </c>
      <c r="L501" s="7" t="n"/>
      <c r="M501" s="7" t="n"/>
    </row>
    <row r="502">
      <c r="A502" s="14" t="n">
        <v>486</v>
      </c>
      <c r="B502" s="14" t="n"/>
      <c r="C502" s="14" t="n"/>
      <c r="D502" s="14" t="n"/>
      <c r="E502" s="14" t="n"/>
      <c r="F502" s="14" t="n"/>
      <c r="G502" s="14" t="n"/>
      <c r="H502" s="14" t="n"/>
      <c r="I502" s="14" t="n"/>
      <c r="J502" s="16" t="n"/>
      <c r="K502" s="14">
        <f>Table1[[#This Row],[Complexity]]*$A$11+SUM(Table1[[#This Row],[Other 
Integration]:[OEM 
Integration]])*$C$11</f>
        <v/>
      </c>
      <c r="L502" s="7" t="n"/>
      <c r="M502" s="7" t="n"/>
    </row>
    <row r="503">
      <c r="A503" s="14" t="n">
        <v>487</v>
      </c>
      <c r="B503" s="14" t="n"/>
      <c r="C503" s="14" t="n"/>
      <c r="D503" s="14" t="n"/>
      <c r="E503" s="14" t="n"/>
      <c r="F503" s="14" t="n"/>
      <c r="G503" s="14" t="n"/>
      <c r="H503" s="14" t="n"/>
      <c r="I503" s="14" t="n"/>
      <c r="J503" s="16" t="n"/>
      <c r="K503" s="14">
        <f>Table1[[#This Row],[Complexity]]*$A$11+SUM(Table1[[#This Row],[Other 
Integration]:[OEM 
Integration]])*$C$11</f>
        <v/>
      </c>
      <c r="L503" s="7" t="n"/>
      <c r="M503" s="7" t="n"/>
    </row>
    <row r="504">
      <c r="A504" s="14" t="n">
        <v>488</v>
      </c>
      <c r="B504" s="14" t="n"/>
      <c r="C504" s="14" t="n"/>
      <c r="D504" s="14" t="n"/>
      <c r="E504" s="14" t="n"/>
      <c r="F504" s="14" t="n"/>
      <c r="G504" s="14" t="n"/>
      <c r="H504" s="14" t="n"/>
      <c r="I504" s="14" t="n"/>
      <c r="J504" s="16" t="n"/>
      <c r="K504" s="14">
        <f>Table1[[#This Row],[Complexity]]*$A$11+SUM(Table1[[#This Row],[Other 
Integration]:[OEM 
Integration]])*$C$11</f>
        <v/>
      </c>
      <c r="L504" s="7" t="n"/>
      <c r="M504" s="7" t="n"/>
    </row>
    <row r="505">
      <c r="A505" s="14" t="n">
        <v>489</v>
      </c>
      <c r="B505" s="14" t="n"/>
      <c r="C505" s="14" t="n"/>
      <c r="D505" s="14" t="n"/>
      <c r="E505" s="14" t="n"/>
      <c r="F505" s="14" t="n"/>
      <c r="G505" s="14" t="n"/>
      <c r="H505" s="14" t="n"/>
      <c r="I505" s="14" t="n"/>
      <c r="J505" s="16" t="n"/>
      <c r="K505" s="14">
        <f>Table1[[#This Row],[Complexity]]*$A$11+SUM(Table1[[#This Row],[Other 
Integration]:[OEM 
Integration]])*$C$11</f>
        <v/>
      </c>
      <c r="L505" s="7" t="n"/>
      <c r="M505" s="7" t="n"/>
    </row>
    <row r="506">
      <c r="A506" s="14" t="n">
        <v>490</v>
      </c>
      <c r="B506" s="14" t="n"/>
      <c r="C506" s="14" t="n"/>
      <c r="D506" s="14" t="n"/>
      <c r="E506" s="14" t="n"/>
      <c r="F506" s="14" t="n"/>
      <c r="G506" s="14" t="n"/>
      <c r="H506" s="14" t="n"/>
      <c r="I506" s="14" t="n"/>
      <c r="J506" s="16" t="n"/>
      <c r="K506" s="14">
        <f>Table1[[#This Row],[Complexity]]*$A$11+SUM(Table1[[#This Row],[Other 
Integration]:[OEM 
Integration]])*$C$11</f>
        <v/>
      </c>
      <c r="L506" s="7" t="n"/>
      <c r="M506" s="7" t="n"/>
    </row>
    <row r="507">
      <c r="A507" s="14" t="n">
        <v>491</v>
      </c>
      <c r="B507" s="14" t="n"/>
      <c r="C507" s="14" t="n"/>
      <c r="D507" s="14" t="n"/>
      <c r="E507" s="14" t="n"/>
      <c r="F507" s="14" t="n"/>
      <c r="G507" s="14" t="n"/>
      <c r="H507" s="14" t="n"/>
      <c r="I507" s="14" t="n"/>
      <c r="J507" s="16" t="n"/>
      <c r="K507" s="14">
        <f>Table1[[#This Row],[Complexity]]*$A$11+SUM(Table1[[#This Row],[Other 
Integration]:[OEM 
Integration]])*$C$11</f>
        <v/>
      </c>
      <c r="L507" s="7" t="n"/>
      <c r="M507" s="7" t="n"/>
    </row>
    <row r="508">
      <c r="A508" s="14" t="n">
        <v>492</v>
      </c>
      <c r="B508" s="14" t="n"/>
      <c r="C508" s="14" t="n"/>
      <c r="D508" s="14" t="n"/>
      <c r="E508" s="14" t="n"/>
      <c r="F508" s="14" t="n"/>
      <c r="G508" s="14" t="n"/>
      <c r="H508" s="14" t="n"/>
      <c r="I508" s="14" t="n"/>
      <c r="J508" s="16" t="n"/>
      <c r="K508" s="14">
        <f>Table1[[#This Row],[Complexity]]*$A$11+SUM(Table1[[#This Row],[Other 
Integration]:[OEM 
Integration]])*$C$11</f>
        <v/>
      </c>
      <c r="L508" s="7" t="n"/>
      <c r="M508" s="7" t="n"/>
    </row>
    <row r="509">
      <c r="A509" s="14" t="n">
        <v>493</v>
      </c>
      <c r="B509" s="14" t="n"/>
      <c r="C509" s="14" t="n"/>
      <c r="D509" s="14" t="n"/>
      <c r="E509" s="14" t="n"/>
      <c r="F509" s="14" t="n"/>
      <c r="G509" s="14" t="n"/>
      <c r="H509" s="14" t="n"/>
      <c r="I509" s="14" t="n"/>
      <c r="J509" s="16" t="n"/>
      <c r="K509" s="14">
        <f>Table1[[#This Row],[Complexity]]*$A$11+SUM(Table1[[#This Row],[Other 
Integration]:[OEM 
Integration]])*$C$11</f>
        <v/>
      </c>
      <c r="L509" s="7" t="n"/>
      <c r="M509" s="7" t="n"/>
    </row>
    <row r="510">
      <c r="A510" s="14" t="n">
        <v>494</v>
      </c>
      <c r="B510" s="14" t="n"/>
      <c r="C510" s="14" t="n"/>
      <c r="D510" s="14" t="n"/>
      <c r="E510" s="14" t="n"/>
      <c r="F510" s="14" t="n"/>
      <c r="G510" s="14" t="n"/>
      <c r="H510" s="14" t="n"/>
      <c r="I510" s="14" t="n"/>
      <c r="J510" s="16" t="n"/>
      <c r="K510" s="14">
        <f>Table1[[#This Row],[Complexity]]*$A$11+SUM(Table1[[#This Row],[Other 
Integration]:[OEM 
Integration]])*$C$11</f>
        <v/>
      </c>
      <c r="L510" s="7" t="n"/>
      <c r="M510" s="7" t="n"/>
    </row>
    <row r="511">
      <c r="A511" s="14" t="n">
        <v>495</v>
      </c>
      <c r="B511" s="14" t="n"/>
      <c r="C511" s="14" t="n"/>
      <c r="D511" s="14" t="n"/>
      <c r="E511" s="14" t="n"/>
      <c r="F511" s="14" t="n"/>
      <c r="G511" s="14" t="n"/>
      <c r="H511" s="14" t="n"/>
      <c r="I511" s="14" t="n"/>
      <c r="J511" s="16" t="n"/>
      <c r="K511" s="14">
        <f>Table1[[#This Row],[Complexity]]*$A$11+SUM(Table1[[#This Row],[Other 
Integration]:[OEM 
Integration]])*$C$11</f>
        <v/>
      </c>
      <c r="L511" s="7" t="n"/>
      <c r="M511" s="7" t="n"/>
    </row>
    <row r="512">
      <c r="A512" s="14" t="n">
        <v>496</v>
      </c>
      <c r="B512" s="14" t="n"/>
      <c r="C512" s="14" t="n"/>
      <c r="D512" s="14" t="n"/>
      <c r="E512" s="14" t="n"/>
      <c r="F512" s="14" t="n"/>
      <c r="G512" s="14" t="n"/>
      <c r="H512" s="14" t="n"/>
      <c r="I512" s="14" t="n"/>
      <c r="J512" s="16" t="n"/>
      <c r="K512" s="14">
        <f>Table1[[#This Row],[Complexity]]*$A$11+SUM(Table1[[#This Row],[Other 
Integration]:[OEM 
Integration]])*$C$11</f>
        <v/>
      </c>
      <c r="L512" s="7" t="n"/>
      <c r="M512" s="7" t="n"/>
    </row>
    <row r="513">
      <c r="A513" s="14" t="n">
        <v>497</v>
      </c>
      <c r="B513" s="14" t="n"/>
      <c r="C513" s="14" t="n"/>
      <c r="D513" s="14" t="n"/>
      <c r="E513" s="14" t="n"/>
      <c r="F513" s="14" t="n"/>
      <c r="G513" s="14" t="n"/>
      <c r="H513" s="14" t="n"/>
      <c r="I513" s="14" t="n"/>
      <c r="J513" s="16" t="n"/>
      <c r="K513" s="14">
        <f>Table1[[#This Row],[Complexity]]*$A$11+SUM(Table1[[#This Row],[Other 
Integration]:[OEM 
Integration]])*$C$11</f>
        <v/>
      </c>
      <c r="L513" s="7" t="n"/>
      <c r="M513" s="7" t="n"/>
    </row>
  </sheetData>
  <sheetProtection selectLockedCells="0" selectUnlockedCells="0" algorithmName="SHA-512" sheet="1" objects="1" insertRows="1" insertHyperlinks="1" autoFilter="1" scenarios="1" formatColumns="0" deleteColumns="1" insertColumns="1" pivotTables="1" deleteRows="1" formatCells="0" saltValue="Dc2SOMSbwitXjM8xtGGXTg==" formatRows="0" sort="1" spinCount="100000" hashValue="ZKN9YPHykC0BRTrxdamuNRYRaqIkRYa55nBJUfMq9u7ycOJXKFwdcFQZ0UcGOhvzJ6ojUestuWyZ8lS4KthqxQ=="/>
  <mergeCells count="30">
    <mergeCell ref="B7:C7"/>
    <mergeCell ref="A15:K15"/>
    <mergeCell ref="A11:B11"/>
    <mergeCell ref="G11:H11"/>
    <mergeCell ref="B3:F3"/>
    <mergeCell ref="D7:F7"/>
    <mergeCell ref="H7:J7"/>
    <mergeCell ref="A2:F2"/>
    <mergeCell ref="C10:D10"/>
    <mergeCell ref="E10:F10"/>
    <mergeCell ref="G10:H10"/>
    <mergeCell ref="D4:F4"/>
    <mergeCell ref="D8:F8"/>
    <mergeCell ref="B8:C8"/>
    <mergeCell ref="A12:K12"/>
    <mergeCell ref="D5:F5"/>
    <mergeCell ref="C11:D11"/>
    <mergeCell ref="A9:F9"/>
    <mergeCell ref="E11:F11"/>
    <mergeCell ref="H8:J8"/>
    <mergeCell ref="L13:M23"/>
    <mergeCell ref="B6:C6"/>
    <mergeCell ref="L7:M12"/>
    <mergeCell ref="L3:M6"/>
    <mergeCell ref="B5:C5"/>
    <mergeCell ref="A10:B10"/>
    <mergeCell ref="H2:K2"/>
    <mergeCell ref="A13:K13"/>
    <mergeCell ref="D6:F6"/>
    <mergeCell ref="B4:C4"/>
  </mergeCells>
  <dataValidations count="4">
    <dataValidation sqref="G17:I513" showDropDown="0" showInputMessage="1" showErrorMessage="1" allowBlank="1" error="Please enter number of integration points required._x000a_i.e :if production ,consumption and alarm data to be integrated then 3 integration points._x000a_" promptTitle="No of Data points" prompt="No of integration data points._x000a__x000a_e.g: _x000a_if prodcution and consumption data to be integrated. then answer is 2._x000a__x000a_if only prodcution data to be integrated. then answer is 1." type="whole">
      <formula1>1</formula1>
      <formula2>20</formula2>
    </dataValidation>
    <dataValidation sqref="G16" showDropDown="0" showInputMessage="1" showErrorMessage="1" allowBlank="1" error="Please enter number of integration points required._x000a_i.e :if production ,consumption and alarm data to be integrated then 3 integration points._x000a_" promptTitle="No Of Data points" prompt="No of integration data points._x000a__x000a_e.g: _x000a_if prodcution and consumption data to be integrated. then answer is 2._x000a__x000a_if only prodcution data to be integrated. then answer is 1." type="whole">
      <formula1>1</formula1>
      <formula2>20</formula2>
    </dataValidation>
    <dataValidation sqref="B17:B513" showDropDown="0" showInputMessage="1" showErrorMessage="1" allowBlank="1" type="list">
      <formula1>"IT,OT"</formula1>
    </dataValidation>
    <dataValidation sqref="J16:J513" showDropDown="0" showInputMessage="1" showErrorMessage="1" allowBlank="1" promptTitle="Complexity level" prompt="1- Simple_x000a_2- Simple Medium_x000a_3- Medium_x000a_4- Medium Complex_x000a_5- Complex" type="list">
      <formula1>$A$4:$A$8</formula1>
    </dataValidation>
  </dataValidations>
  <pageMargins left="0.7" right="0.7" top="0.75" bottom="0.75" header="0.3" footer="0.3"/>
  <pageSetup orientation="portrait" horizontalDpi="300" verticalDpi="300"/>
  <headerFooter>
    <oddHeader>&amp;C&amp;"Aptos"&amp;1 &amp;K008000 Confidential GREEN#_x000d_</oddHeader>
    <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FF00B050"/>
    <outlinePr summaryBelow="1" summaryRight="1"/>
    <pageSetUpPr/>
  </sheetPr>
  <dimension ref="A1:DA90"/>
  <sheetViews>
    <sheetView zoomScaleNormal="100" workbookViewId="0">
      <pane xSplit="7" ySplit="9" topLeftCell="H36" activePane="bottomRight" state="frozen"/>
      <selection pane="topRight" activeCell="H1" sqref="H1"/>
      <selection pane="bottomLeft" activeCell="A10" sqref="A10"/>
      <selection pane="bottomRight" activeCell="J25" sqref="J25"/>
    </sheetView>
  </sheetViews>
  <sheetFormatPr baseColWidth="8" defaultColWidth="0" defaultRowHeight="14.4" zeroHeight="1" outlineLevelRow="2"/>
  <cols>
    <col width="3.77734375" bestFit="1" customWidth="1" min="1" max="1"/>
    <col width="2.6640625" customWidth="1" min="2" max="2"/>
    <col width="2.77734375" customWidth="1" min="3" max="3"/>
    <col width="11.44140625" customWidth="1" min="4" max="4"/>
    <col width="7.5546875" customWidth="1" min="5" max="5"/>
    <col width="5.44140625" customWidth="1" min="6" max="6"/>
    <col width="5.21875" customWidth="1" min="7" max="9"/>
    <col width="2.33203125" customWidth="1" min="10" max="10"/>
    <col width="2.21875" customWidth="1" min="11" max="105"/>
    <col hidden="1" width="3.33203125" customWidth="1" min="106" max="16384"/>
  </cols>
  <sheetData>
    <row r="1" ht="15" customHeight="1" thickBot="1">
      <c r="A1" s="302" t="inlineStr">
        <is>
          <t>NOTE : Please enter the resuorce deployment plan as per the efforts required in "Service- Effort Estimation" .Resource deployment plan is for internal use. Please create the project schedule to be shared with Customer.</t>
        </is>
      </c>
      <c r="BB1" s="106" t="n"/>
      <c r="BC1" s="106" t="n"/>
      <c r="BD1" s="106" t="n"/>
      <c r="BE1" s="106" t="n"/>
      <c r="BF1" s="106" t="n"/>
      <c r="BG1" s="106" t="n"/>
      <c r="BH1" s="106" t="n"/>
      <c r="BI1" s="106" t="n"/>
      <c r="BJ1" s="106" t="n"/>
      <c r="BK1" s="106" t="n"/>
      <c r="BL1" s="106" t="n"/>
      <c r="BM1" s="106" t="n"/>
      <c r="BN1" s="106" t="n"/>
      <c r="BO1" s="106" t="n"/>
      <c r="BP1" s="106" t="n"/>
      <c r="BQ1" s="106" t="n"/>
      <c r="BR1" s="106" t="n"/>
      <c r="BS1" s="106" t="n"/>
      <c r="BT1" s="106" t="n"/>
      <c r="BU1" s="106" t="n"/>
      <c r="BV1" s="106" t="n"/>
      <c r="BW1" s="106" t="n"/>
      <c r="BX1" s="106" t="n"/>
      <c r="BY1" s="106" t="n"/>
      <c r="BZ1" s="106" t="n"/>
      <c r="CA1" s="106" t="n"/>
      <c r="CB1" s="106" t="n"/>
      <c r="CC1" s="106" t="n"/>
      <c r="CD1" s="106" t="n"/>
      <c r="CE1" s="106" t="n"/>
      <c r="CF1" s="106" t="n"/>
      <c r="CG1" s="106" t="n"/>
      <c r="CH1" s="106" t="n"/>
      <c r="CI1" s="106" t="n"/>
      <c r="CJ1" s="106" t="n"/>
      <c r="CK1" s="106" t="n"/>
      <c r="CL1" s="106" t="n"/>
      <c r="CM1" s="106" t="n"/>
      <c r="CN1" s="106" t="n"/>
      <c r="CO1" s="106" t="n"/>
      <c r="CP1" s="106" t="n"/>
      <c r="CQ1" s="106" t="n"/>
      <c r="CR1" s="106" t="n"/>
      <c r="CS1" s="106" t="n"/>
      <c r="CT1" s="106" t="n"/>
      <c r="CU1" s="106" t="n"/>
      <c r="CV1" s="106" t="n"/>
      <c r="CW1" s="106" t="n"/>
      <c r="CX1" s="106" t="n"/>
      <c r="CY1" s="106" t="n"/>
      <c r="CZ1" s="106" t="n"/>
      <c r="DA1" s="106" t="n"/>
    </row>
    <row r="2" outlineLevel="1" ht="25.8" customHeight="1">
      <c r="A2" s="107" t="n"/>
      <c r="B2" s="307" t="n"/>
      <c r="C2" s="499" t="n"/>
      <c r="D2" s="475" t="n"/>
      <c r="E2" s="500" t="inlineStr">
        <is>
          <t>Scheduled Days as per 
resource planned</t>
        </is>
      </c>
      <c r="F2" s="499" t="n"/>
      <c r="G2" s="475" t="n"/>
      <c r="H2" s="288" t="n"/>
      <c r="I2" s="288" t="n"/>
      <c r="J2" s="500" t="inlineStr">
        <is>
          <t>Estimated Days as per 
Service Effort Estimated</t>
        </is>
      </c>
      <c r="K2" s="499" t="n"/>
      <c r="L2" s="499" t="n"/>
      <c r="M2" s="499" t="n"/>
      <c r="N2" s="499" t="n"/>
      <c r="O2" s="499" t="n"/>
      <c r="P2" s="499" t="n"/>
      <c r="Q2" s="499" t="n"/>
      <c r="R2" s="499" t="n"/>
      <c r="S2" s="499" t="n"/>
      <c r="T2" s="475" t="n"/>
      <c r="U2" s="500" t="inlineStr">
        <is>
          <t>Delta in efforts schedule against estimated</t>
        </is>
      </c>
      <c r="V2" s="499" t="n"/>
      <c r="W2" s="499" t="n"/>
      <c r="X2" s="499" t="n"/>
      <c r="Y2" s="499" t="n"/>
      <c r="Z2" s="499" t="n"/>
      <c r="AA2" s="499" t="n"/>
      <c r="AB2" s="499" t="n"/>
      <c r="AC2" s="499" t="n"/>
      <c r="AD2" s="499" t="n"/>
      <c r="AE2" s="499" t="n"/>
      <c r="AF2" s="499" t="n"/>
      <c r="AG2" s="499" t="n"/>
      <c r="AH2" s="499" t="n"/>
      <c r="AI2" s="499" t="n"/>
      <c r="AJ2" s="499" t="n"/>
      <c r="AK2" s="499" t="n"/>
      <c r="AL2" s="499" t="n"/>
      <c r="AM2" s="499" t="n"/>
      <c r="AN2" s="499" t="n"/>
      <c r="AO2" s="475" t="n"/>
      <c r="AP2" s="311" t="n"/>
      <c r="AQ2" s="311" t="n"/>
      <c r="AR2" s="501" t="e">
        <v>#VALUE!</v>
      </c>
      <c r="AS2" s="502" t="n"/>
      <c r="AT2" s="502" t="n"/>
      <c r="AU2" s="502" t="n"/>
      <c r="AV2" s="502" t="n"/>
      <c r="AW2" s="502" t="n"/>
      <c r="AX2" s="502" t="n"/>
      <c r="AY2" s="502" t="n"/>
      <c r="AZ2" s="502" t="n"/>
      <c r="BA2" s="502" t="n"/>
      <c r="BB2" s="502" t="n"/>
      <c r="BC2" s="311" t="n"/>
      <c r="BD2" s="311" t="n"/>
      <c r="BE2" s="311" t="n"/>
      <c r="BF2" s="311" t="n"/>
      <c r="BG2" s="311" t="n"/>
      <c r="BH2" s="311" t="n"/>
      <c r="BI2" s="311" t="n"/>
      <c r="BJ2" s="311" t="n"/>
      <c r="BK2" s="311" t="n"/>
      <c r="BL2" s="311" t="n"/>
      <c r="BM2" s="311" t="n"/>
      <c r="BN2" s="311" t="n"/>
      <c r="BO2" s="311" t="n"/>
      <c r="BP2" s="311" t="n"/>
      <c r="BQ2" s="311" t="n"/>
      <c r="BR2" s="311" t="n"/>
      <c r="BS2" s="311" t="n"/>
      <c r="BT2" s="311" t="n"/>
      <c r="BU2" s="311" t="n"/>
      <c r="BV2" s="311" t="n"/>
      <c r="BW2" s="311" t="n"/>
      <c r="BX2" s="311" t="n"/>
      <c r="BY2" s="311" t="n"/>
      <c r="BZ2" s="311" t="n"/>
      <c r="CA2" s="311" t="n"/>
      <c r="CB2" s="311" t="n"/>
      <c r="CC2" s="311" t="n"/>
      <c r="CD2" s="311" t="n"/>
      <c r="CE2" s="311" t="n"/>
      <c r="CF2" s="311" t="n"/>
      <c r="CG2" s="311" t="n"/>
      <c r="CH2" s="311" t="n"/>
      <c r="CI2" s="311" t="n"/>
      <c r="CJ2" s="311" t="n"/>
      <c r="CK2" s="311" t="n"/>
      <c r="CL2" s="311" t="n"/>
      <c r="CM2" s="311" t="n"/>
      <c r="CN2" s="311" t="n"/>
      <c r="CO2" s="311" t="n"/>
      <c r="CP2" s="311" t="n"/>
      <c r="CQ2" s="311" t="n"/>
      <c r="CR2" s="311" t="n"/>
      <c r="CS2" s="311" t="n"/>
      <c r="CT2" s="311" t="n"/>
      <c r="CU2" s="311" t="n"/>
      <c r="CV2" s="311" t="n"/>
      <c r="CW2" s="311" t="n"/>
      <c r="CX2" s="311" t="n"/>
      <c r="CY2" s="311" t="n"/>
      <c r="CZ2" s="311" t="n"/>
      <c r="DA2" s="311" t="n"/>
    </row>
    <row r="3" outlineLevel="1" ht="12.6" customHeight="1">
      <c r="A3" s="503" t="inlineStr">
        <is>
          <t>OT Development Efforts</t>
        </is>
      </c>
      <c r="D3" s="504" t="n"/>
      <c r="E3" s="505">
        <f>SUM(G11:G17)*5</f>
        <v/>
      </c>
      <c r="F3" s="196" t="n"/>
      <c r="G3" s="506" t="n"/>
      <c r="H3" s="291" t="n"/>
      <c r="I3" s="291" t="n"/>
      <c r="J3" s="505">
        <f>'2.Effort Estimation'!K3/8</f>
        <v/>
      </c>
      <c r="K3" s="196" t="n"/>
      <c r="L3" s="196" t="n"/>
      <c r="M3" s="196" t="n"/>
      <c r="N3" s="196" t="n"/>
      <c r="O3" s="196" t="n"/>
      <c r="P3" s="196" t="n"/>
      <c r="Q3" s="196" t="n"/>
      <c r="R3" s="196" t="n"/>
      <c r="S3" s="196" t="n"/>
      <c r="T3" s="506" t="n"/>
      <c r="U3" s="507">
        <f>_xlfn.CONCAT(J3-E3," Days")</f>
        <v/>
      </c>
      <c r="AO3" s="504" t="n"/>
      <c r="AP3" s="1" t="n"/>
      <c r="AQ3" s="1" t="n"/>
      <c r="BC3" s="336" t="inlineStr">
        <is>
          <t>Strictly Internal to Smart Controls Authorized personnel only.</t>
        </is>
      </c>
      <c r="CY3" s="1" t="n"/>
      <c r="CZ3" s="1" t="n"/>
      <c r="DA3" s="1" t="n"/>
    </row>
    <row r="4" outlineLevel="1" ht="15.6" customHeight="1">
      <c r="A4" s="503" t="inlineStr">
        <is>
          <t>IT Development Efforts</t>
        </is>
      </c>
      <c r="D4" s="504" t="n"/>
      <c r="E4" s="508">
        <f>SUM(G19:G25)*5</f>
        <v/>
      </c>
      <c r="G4" s="504" t="n"/>
      <c r="H4" s="294" t="n"/>
      <c r="I4" s="294" t="n"/>
      <c r="J4" s="508">
        <f>'2.Effort Estimation'!I3/8</f>
        <v/>
      </c>
      <c r="T4" s="504" t="n"/>
      <c r="U4" s="507">
        <f>_xlfn.CONCAT(J4-E4," Days")</f>
        <v/>
      </c>
      <c r="AO4" s="504" t="n"/>
      <c r="AP4" s="1" t="n"/>
      <c r="AQ4" s="1" t="n"/>
      <c r="CY4" s="1" t="n"/>
      <c r="CZ4" s="1" t="n"/>
      <c r="DA4" s="1" t="n"/>
    </row>
    <row r="5" outlineLevel="1" ht="15.6" customHeight="1">
      <c r="A5" s="503" t="inlineStr">
        <is>
          <t>Management  Efforts</t>
        </is>
      </c>
      <c r="D5" s="504" t="n"/>
      <c r="E5" s="508">
        <f>SUM(G10,G18,G26)*5</f>
        <v/>
      </c>
      <c r="G5" s="504" t="n"/>
      <c r="H5" s="294" t="n"/>
      <c r="I5" s="294" t="n"/>
      <c r="J5" s="508">
        <f>('2.Effort Estimation'!I5+'2.Effort Estimation'!K4)/8</f>
        <v/>
      </c>
      <c r="T5" s="504" t="n"/>
      <c r="U5" s="507">
        <f>_xlfn.CONCAT(J5-E5," Days")</f>
        <v/>
      </c>
      <c r="AO5" s="504" t="n"/>
      <c r="AP5" s="1" t="n"/>
      <c r="AQ5" s="1" t="n"/>
      <c r="CY5" s="1" t="n"/>
      <c r="CZ5" s="1" t="n"/>
      <c r="DA5" s="1" t="n"/>
    </row>
    <row r="6" outlineLevel="1" ht="15.6" customHeight="1" thickBot="1">
      <c r="A6" s="509" t="inlineStr">
        <is>
          <t>Total Efforts</t>
        </is>
      </c>
      <c r="B6" s="461" t="n"/>
      <c r="C6" s="461" t="n"/>
      <c r="D6" s="510" t="n"/>
      <c r="E6" s="511">
        <f>SUM(G10:G28)*5</f>
        <v/>
      </c>
      <c r="F6" s="461" t="n"/>
      <c r="G6" s="510" t="n"/>
      <c r="H6" s="309" t="n"/>
      <c r="I6" s="309" t="n"/>
      <c r="J6" s="511">
        <f>'2.Effort Estimation'!K8</f>
        <v/>
      </c>
      <c r="K6" s="461" t="n"/>
      <c r="L6" s="461" t="n"/>
      <c r="M6" s="461" t="n"/>
      <c r="N6" s="461" t="n"/>
      <c r="O6" s="461" t="n"/>
      <c r="P6" s="461" t="n"/>
      <c r="Q6" s="461" t="n"/>
      <c r="R6" s="461" t="n"/>
      <c r="S6" s="461" t="n"/>
      <c r="T6" s="510" t="n"/>
      <c r="U6" s="512">
        <f>_xlfn.CONCAT(J6-E6," Days")</f>
        <v/>
      </c>
      <c r="V6" s="461" t="n"/>
      <c r="W6" s="461" t="n"/>
      <c r="X6" s="461" t="n"/>
      <c r="Y6" s="461" t="n"/>
      <c r="Z6" s="461" t="n"/>
      <c r="AA6" s="461" t="n"/>
      <c r="AB6" s="461" t="n"/>
      <c r="AC6" s="461" t="n"/>
      <c r="AD6" s="461" t="n"/>
      <c r="AE6" s="461" t="n"/>
      <c r="AF6" s="461" t="n"/>
      <c r="AG6" s="461" t="n"/>
      <c r="AH6" s="461" t="n"/>
      <c r="AI6" s="461" t="n"/>
      <c r="AJ6" s="461" t="n"/>
      <c r="AK6" s="461" t="n"/>
      <c r="AL6" s="461" t="n"/>
      <c r="AM6" s="461" t="n"/>
      <c r="AN6" s="461" t="n"/>
      <c r="AO6" s="510" t="n"/>
      <c r="AP6" s="109" t="n"/>
      <c r="AQ6" s="109" t="n"/>
      <c r="AR6" s="461" t="n"/>
      <c r="AS6" s="461" t="n"/>
      <c r="AT6" s="461" t="n"/>
      <c r="AU6" s="461" t="n"/>
      <c r="AV6" s="461" t="n"/>
      <c r="AW6" s="461" t="n"/>
      <c r="AX6" s="461" t="n"/>
      <c r="AY6" s="461" t="n"/>
      <c r="AZ6" s="461" t="n"/>
      <c r="BA6" s="461" t="n"/>
      <c r="BB6" s="461" t="n"/>
      <c r="BC6" s="109" t="n"/>
      <c r="BD6" s="109" t="n"/>
      <c r="BE6" s="109" t="n"/>
      <c r="BF6" s="109" t="n"/>
      <c r="BG6" s="109" t="n"/>
      <c r="BH6" s="109" t="n"/>
      <c r="BI6" s="109" t="n"/>
      <c r="BJ6" s="109" t="n"/>
      <c r="BK6" s="109" t="n"/>
      <c r="BL6" s="109" t="n"/>
      <c r="BM6" s="109" t="n"/>
      <c r="BN6" s="109" t="n"/>
      <c r="BO6" s="109" t="n"/>
      <c r="BP6" s="109" t="n"/>
      <c r="BQ6" s="109" t="n"/>
      <c r="BR6" s="109" t="n"/>
      <c r="BS6" s="109" t="n"/>
      <c r="BT6" s="109" t="n"/>
      <c r="BU6" s="109" t="n"/>
      <c r="BV6" s="109" t="n"/>
      <c r="BW6" s="109" t="n"/>
      <c r="BX6" s="109" t="n"/>
      <c r="BY6" s="109" t="n"/>
      <c r="BZ6" s="109" t="n"/>
      <c r="CA6" s="109" t="n"/>
      <c r="CB6" s="109" t="n"/>
      <c r="CC6" s="109" t="n"/>
      <c r="CD6" s="109" t="n"/>
      <c r="CE6" s="109" t="n"/>
      <c r="CF6" s="109" t="n"/>
      <c r="CG6" s="109" t="n"/>
      <c r="CH6" s="109" t="n"/>
      <c r="CI6" s="109" t="n"/>
      <c r="CJ6" s="109" t="n"/>
      <c r="CK6" s="109" t="n"/>
      <c r="CL6" s="109" t="n"/>
      <c r="CM6" s="109" t="n"/>
      <c r="CN6" s="109" t="n"/>
      <c r="CO6" s="109" t="n"/>
      <c r="CP6" s="109" t="n"/>
      <c r="CQ6" s="109" t="n"/>
      <c r="CR6" s="109" t="n"/>
      <c r="CS6" s="109" t="n"/>
      <c r="CT6" s="109" t="n"/>
      <c r="CU6" s="109" t="n"/>
      <c r="CV6" s="109" t="n"/>
      <c r="CW6" s="109" t="n"/>
      <c r="CX6" s="109" t="n"/>
      <c r="CY6" s="109" t="n"/>
      <c r="CZ6" s="109" t="n"/>
      <c r="DA6" s="109" t="n"/>
    </row>
    <row r="7" outlineLevel="1" ht="18" customHeight="1">
      <c r="A7" s="341" t="inlineStr">
        <is>
          <t xml:space="preserve">RESOURCE LOAD PLAN </t>
        </is>
      </c>
      <c r="B7" s="502" t="n"/>
      <c r="C7" s="502" t="n"/>
      <c r="D7" s="502" t="n"/>
      <c r="E7" s="502" t="n"/>
      <c r="F7" s="502" t="n"/>
      <c r="G7" s="502" t="n"/>
      <c r="H7" s="502" t="n"/>
      <c r="I7" s="513" t="n"/>
      <c r="J7" s="33" t="n"/>
      <c r="K7" s="34" t="n"/>
      <c r="L7" s="34" t="n"/>
      <c r="M7" s="35" t="n"/>
      <c r="N7" s="35" t="n"/>
      <c r="O7" s="35" t="n"/>
      <c r="P7" s="35" t="n"/>
      <c r="Q7" s="35" t="n"/>
      <c r="R7" s="35" t="n"/>
      <c r="S7" s="35" t="n"/>
      <c r="T7" s="35" t="n"/>
      <c r="U7" s="35" t="n"/>
      <c r="V7" s="35" t="n"/>
      <c r="W7" s="35" t="n"/>
      <c r="X7" s="35" t="n"/>
      <c r="Y7" s="35" t="n"/>
      <c r="Z7" s="35" t="n"/>
      <c r="AA7" s="35" t="n"/>
      <c r="AB7" s="35" t="n"/>
      <c r="AC7" s="35" t="n"/>
      <c r="AD7" s="35" t="n"/>
      <c r="AE7" s="35" t="n"/>
      <c r="AF7" s="35" t="n"/>
      <c r="AG7" s="35" t="inlineStr">
        <is>
          <t>Year 1</t>
        </is>
      </c>
      <c r="AH7" s="35" t="n"/>
      <c r="AI7" s="35" t="n"/>
      <c r="AJ7" s="35" t="n"/>
      <c r="AK7" s="35" t="n"/>
      <c r="AL7" s="35" t="n"/>
      <c r="AM7" s="35" t="n"/>
      <c r="AN7" s="35" t="n"/>
      <c r="AO7" s="35" t="n"/>
      <c r="AP7" s="35" t="n"/>
      <c r="AQ7" s="35" t="n"/>
      <c r="AR7" s="35" t="n"/>
      <c r="AS7" s="35" t="n"/>
      <c r="AT7" s="35" t="n"/>
      <c r="AU7" s="35" t="n"/>
      <c r="AV7" s="35" t="n"/>
      <c r="AW7" s="35" t="n"/>
      <c r="AX7" s="35" t="n"/>
      <c r="AY7" s="35" t="n"/>
      <c r="AZ7" s="35" t="n"/>
      <c r="BA7" s="35" t="n"/>
      <c r="BB7" s="35" t="n"/>
      <c r="BC7" s="35" t="n"/>
      <c r="BD7" s="35" t="n"/>
      <c r="BE7" s="151" t="n"/>
      <c r="BF7" s="35" t="n"/>
      <c r="BG7" s="35" t="n"/>
      <c r="BH7" s="35" t="n"/>
      <c r="BI7" s="35" t="n"/>
      <c r="BJ7" s="35" t="n"/>
      <c r="BK7" s="35" t="n"/>
      <c r="BL7" s="35" t="n"/>
      <c r="BM7" s="35" t="n"/>
      <c r="BN7" s="35" t="n"/>
      <c r="BO7" s="35" t="n"/>
      <c r="BP7" s="35" t="n"/>
      <c r="BQ7" s="35" t="n"/>
      <c r="BR7" s="35" t="n"/>
      <c r="BS7" s="35" t="n"/>
      <c r="BT7" s="35" t="n"/>
      <c r="BU7" s="35" t="n"/>
      <c r="BV7" s="35" t="n"/>
      <c r="BW7" s="35" t="n"/>
      <c r="BX7" s="35" t="n"/>
      <c r="BY7" s="35" t="n"/>
      <c r="BZ7" s="35" t="n"/>
      <c r="CA7" s="35" t="n"/>
      <c r="CB7" s="35" t="n"/>
      <c r="CC7" s="35" t="inlineStr">
        <is>
          <t>Year 2</t>
        </is>
      </c>
      <c r="CD7" s="35" t="n"/>
      <c r="CE7" s="35" t="n"/>
      <c r="CF7" s="35" t="n"/>
      <c r="CG7" s="35" t="n"/>
      <c r="CH7" s="35" t="n"/>
      <c r="CI7" s="35" t="n"/>
      <c r="CJ7" s="35" t="n"/>
      <c r="CK7" s="35" t="n"/>
      <c r="CL7" s="35" t="n"/>
      <c r="CM7" s="35" t="n"/>
      <c r="CN7" s="35" t="n"/>
      <c r="CO7" s="35" t="n"/>
      <c r="CP7" s="35" t="n"/>
      <c r="CQ7" s="35" t="n"/>
      <c r="CR7" s="35" t="n"/>
      <c r="CS7" s="35" t="n"/>
      <c r="CT7" s="35" t="n"/>
      <c r="CU7" s="35" t="n"/>
      <c r="CV7" s="35" t="n"/>
      <c r="CW7" s="35" t="n"/>
      <c r="CX7" s="35" t="n"/>
      <c r="CY7" s="35" t="n"/>
      <c r="CZ7" s="35" t="n"/>
      <c r="DA7" s="36" t="n"/>
    </row>
    <row r="8" outlineLevel="1" ht="14.4" customFormat="1" customHeight="1" s="244">
      <c r="B8" s="283" t="inlineStr">
        <is>
          <t>Area</t>
        </is>
      </c>
      <c r="C8" s="514" t="inlineStr">
        <is>
          <t>Role</t>
        </is>
      </c>
      <c r="D8" s="196" t="n"/>
      <c r="E8" s="196" t="n"/>
      <c r="F8" s="506" t="n"/>
      <c r="G8" s="283" t="inlineStr">
        <is>
          <t>Weeks</t>
        </is>
      </c>
      <c r="H8" s="283" t="inlineStr">
        <is>
          <t>Days</t>
        </is>
      </c>
      <c r="I8" s="283" t="inlineStr">
        <is>
          <t>Hours</t>
        </is>
      </c>
      <c r="J8" s="339" t="inlineStr">
        <is>
          <t>M1</t>
        </is>
      </c>
      <c r="K8" s="485" t="n"/>
      <c r="L8" s="485" t="n"/>
      <c r="M8" s="485" t="n"/>
      <c r="N8" s="278" t="inlineStr">
        <is>
          <t>M2</t>
        </is>
      </c>
      <c r="O8" s="485" t="n"/>
      <c r="P8" s="485" t="n"/>
      <c r="Q8" s="485" t="n"/>
      <c r="R8" s="515" t="inlineStr">
        <is>
          <t>M3</t>
        </is>
      </c>
      <c r="S8" s="485" t="n"/>
      <c r="T8" s="485" t="n"/>
      <c r="U8" s="484" t="n"/>
      <c r="V8" s="278" t="inlineStr">
        <is>
          <t>M4</t>
        </is>
      </c>
      <c r="W8" s="485" t="n"/>
      <c r="X8" s="485" t="n"/>
      <c r="Y8" s="485" t="n"/>
      <c r="Z8" s="278" t="inlineStr">
        <is>
          <t>M5</t>
        </is>
      </c>
      <c r="AA8" s="485" t="n"/>
      <c r="AB8" s="485" t="n"/>
      <c r="AC8" s="485" t="n"/>
      <c r="AD8" s="278" t="inlineStr">
        <is>
          <t>M6</t>
        </is>
      </c>
      <c r="AE8" s="485" t="n"/>
      <c r="AF8" s="485" t="n"/>
      <c r="AG8" s="485" t="n"/>
      <c r="AH8" s="278" t="inlineStr">
        <is>
          <t>M7</t>
        </is>
      </c>
      <c r="AI8" s="485" t="n"/>
      <c r="AJ8" s="485" t="n"/>
      <c r="AK8" s="485" t="n"/>
      <c r="AL8" s="278" t="inlineStr">
        <is>
          <t>M8</t>
        </is>
      </c>
      <c r="AM8" s="485" t="n"/>
      <c r="AN8" s="485" t="n"/>
      <c r="AO8" s="485" t="n"/>
      <c r="AP8" s="278" t="inlineStr">
        <is>
          <t>M9</t>
        </is>
      </c>
      <c r="AQ8" s="485" t="n"/>
      <c r="AR8" s="485" t="n"/>
      <c r="AS8" s="485" t="n"/>
      <c r="AT8" s="278" t="inlineStr">
        <is>
          <t>M10</t>
        </is>
      </c>
      <c r="AU8" s="485" t="n"/>
      <c r="AV8" s="485" t="n"/>
      <c r="AW8" s="485" t="n"/>
      <c r="AX8" s="278" t="inlineStr">
        <is>
          <t>M11</t>
        </is>
      </c>
      <c r="AY8" s="485" t="n"/>
      <c r="AZ8" s="485" t="n"/>
      <c r="BA8" s="485" t="n"/>
      <c r="BB8" s="515" t="inlineStr">
        <is>
          <t>M12</t>
        </is>
      </c>
      <c r="BC8" s="485" t="n"/>
      <c r="BD8" s="485" t="n"/>
      <c r="BE8" s="484" t="n"/>
      <c r="BF8" s="279" t="inlineStr">
        <is>
          <t>M13</t>
        </is>
      </c>
      <c r="BG8" s="485" t="n"/>
      <c r="BH8" s="485" t="n"/>
      <c r="BI8" s="485" t="n"/>
      <c r="BJ8" s="278" t="inlineStr">
        <is>
          <t>M14</t>
        </is>
      </c>
      <c r="BK8" s="485" t="n"/>
      <c r="BL8" s="485" t="n"/>
      <c r="BM8" s="485" t="n"/>
      <c r="BN8" s="278" t="inlineStr">
        <is>
          <t>M15</t>
        </is>
      </c>
      <c r="BO8" s="485" t="n"/>
      <c r="BP8" s="485" t="n"/>
      <c r="BQ8" s="485" t="n"/>
      <c r="BR8" s="278" t="inlineStr">
        <is>
          <t>M16</t>
        </is>
      </c>
      <c r="BS8" s="485" t="n"/>
      <c r="BT8" s="485" t="n"/>
      <c r="BU8" s="485" t="n"/>
      <c r="BV8" s="278" t="inlineStr">
        <is>
          <t>M17</t>
        </is>
      </c>
      <c r="BW8" s="485" t="n"/>
      <c r="BX8" s="485" t="n"/>
      <c r="BY8" s="485" t="n"/>
      <c r="BZ8" s="278" t="inlineStr">
        <is>
          <t>M18</t>
        </is>
      </c>
      <c r="CA8" s="485" t="n"/>
      <c r="CB8" s="485" t="n"/>
      <c r="CC8" s="485" t="n"/>
      <c r="CD8" s="278" t="inlineStr">
        <is>
          <t>M19</t>
        </is>
      </c>
      <c r="CE8" s="485" t="n"/>
      <c r="CF8" s="485" t="n"/>
      <c r="CG8" s="485" t="n"/>
      <c r="CH8" s="278" t="inlineStr">
        <is>
          <t>M20</t>
        </is>
      </c>
      <c r="CI8" s="485" t="n"/>
      <c r="CJ8" s="485" t="n"/>
      <c r="CK8" s="485" t="n"/>
      <c r="CL8" s="278" t="inlineStr">
        <is>
          <t>M21</t>
        </is>
      </c>
      <c r="CM8" s="485" t="n"/>
      <c r="CN8" s="485" t="n"/>
      <c r="CO8" s="485" t="n"/>
      <c r="CP8" s="278" t="inlineStr">
        <is>
          <t>M22</t>
        </is>
      </c>
      <c r="CQ8" s="485" t="n"/>
      <c r="CR8" s="485" t="n"/>
      <c r="CS8" s="485" t="n"/>
      <c r="CT8" s="278" t="inlineStr">
        <is>
          <t>M23</t>
        </is>
      </c>
      <c r="CU8" s="485" t="n"/>
      <c r="CV8" s="485" t="n"/>
      <c r="CW8" s="485" t="n"/>
      <c r="CX8" s="516" t="inlineStr">
        <is>
          <t>M24</t>
        </is>
      </c>
      <c r="CY8" s="485" t="n"/>
      <c r="CZ8" s="485" t="n"/>
      <c r="DA8" s="517" t="n"/>
    </row>
    <row r="9" outlineLevel="1" ht="27.6" customFormat="1" customHeight="1" s="244" thickBot="1">
      <c r="B9" s="518" t="n"/>
      <c r="C9" s="519" t="n"/>
      <c r="D9" s="197" t="n"/>
      <c r="E9" s="197" t="n"/>
      <c r="F9" s="483" t="n"/>
      <c r="G9" s="518" t="n"/>
      <c r="H9" s="518" t="n"/>
      <c r="I9" s="518" t="n"/>
      <c r="J9" s="37" t="n">
        <v>1</v>
      </c>
      <c r="K9" s="38" t="n">
        <v>2</v>
      </c>
      <c r="L9" s="38" t="n">
        <v>3</v>
      </c>
      <c r="M9" s="38" t="n">
        <v>4</v>
      </c>
      <c r="N9" s="38" t="n">
        <v>5</v>
      </c>
      <c r="O9" s="38" t="n">
        <v>6</v>
      </c>
      <c r="P9" s="38" t="n">
        <v>7</v>
      </c>
      <c r="Q9" s="38" t="n">
        <v>8</v>
      </c>
      <c r="R9" s="38" t="n">
        <v>9</v>
      </c>
      <c r="S9" s="38" t="n">
        <v>10</v>
      </c>
      <c r="T9" s="38" t="n">
        <v>11</v>
      </c>
      <c r="U9" s="38" t="n">
        <v>12</v>
      </c>
      <c r="V9" s="38" t="n">
        <v>13</v>
      </c>
      <c r="W9" s="38" t="n">
        <v>14</v>
      </c>
      <c r="X9" s="38" t="n">
        <v>15</v>
      </c>
      <c r="Y9" s="38" t="n">
        <v>16</v>
      </c>
      <c r="Z9" s="38" t="n">
        <v>17</v>
      </c>
      <c r="AA9" s="38" t="n">
        <v>18</v>
      </c>
      <c r="AB9" s="38" t="n">
        <v>19</v>
      </c>
      <c r="AC9" s="38" t="n">
        <v>20</v>
      </c>
      <c r="AD9" s="38" t="n">
        <v>21</v>
      </c>
      <c r="AE9" s="38" t="n">
        <v>22</v>
      </c>
      <c r="AF9" s="38" t="n">
        <v>23</v>
      </c>
      <c r="AG9" s="38" t="n">
        <v>24</v>
      </c>
      <c r="AH9" s="38" t="n">
        <v>25</v>
      </c>
      <c r="AI9" s="38" t="n">
        <v>26</v>
      </c>
      <c r="AJ9" s="38" t="n">
        <v>27</v>
      </c>
      <c r="AK9" s="38" t="n">
        <v>28</v>
      </c>
      <c r="AL9" s="38" t="n">
        <v>29</v>
      </c>
      <c r="AM9" s="38" t="n">
        <v>30</v>
      </c>
      <c r="AN9" s="38" t="n">
        <v>31</v>
      </c>
      <c r="AO9" s="38" t="n">
        <v>32</v>
      </c>
      <c r="AP9" s="38" t="n">
        <v>33</v>
      </c>
      <c r="AQ9" s="38" t="n">
        <v>34</v>
      </c>
      <c r="AR9" s="38" t="n">
        <v>35</v>
      </c>
      <c r="AS9" s="38" t="n">
        <v>36</v>
      </c>
      <c r="AT9" s="38" t="n">
        <v>37</v>
      </c>
      <c r="AU9" s="38" t="n">
        <v>38</v>
      </c>
      <c r="AV9" s="38" t="n">
        <v>39</v>
      </c>
      <c r="AW9" s="38" t="n">
        <v>40</v>
      </c>
      <c r="AX9" s="38" t="n">
        <v>41</v>
      </c>
      <c r="AY9" s="38" t="n">
        <v>42</v>
      </c>
      <c r="AZ9" s="38" t="n">
        <v>43</v>
      </c>
      <c r="BA9" s="38" t="n">
        <v>44</v>
      </c>
      <c r="BB9" s="38" t="n">
        <v>45</v>
      </c>
      <c r="BC9" s="38" t="n">
        <v>46</v>
      </c>
      <c r="BD9" s="38" t="n">
        <v>47</v>
      </c>
      <c r="BE9" s="38" t="n">
        <v>48</v>
      </c>
      <c r="BF9" s="40" t="n">
        <v>49</v>
      </c>
      <c r="BG9" s="38" t="n">
        <v>50</v>
      </c>
      <c r="BH9" s="38" t="n">
        <v>51</v>
      </c>
      <c r="BI9" s="38" t="n">
        <v>52</v>
      </c>
      <c r="BJ9" s="38" t="n">
        <v>53</v>
      </c>
      <c r="BK9" s="38" t="n">
        <v>54</v>
      </c>
      <c r="BL9" s="38" t="n">
        <v>55</v>
      </c>
      <c r="BM9" s="38" t="n">
        <v>56</v>
      </c>
      <c r="BN9" s="38" t="n">
        <v>57</v>
      </c>
      <c r="BO9" s="38" t="n">
        <v>58</v>
      </c>
      <c r="BP9" s="38" t="n">
        <v>59</v>
      </c>
      <c r="BQ9" s="38" t="n">
        <v>60</v>
      </c>
      <c r="BR9" s="38" t="n">
        <v>61</v>
      </c>
      <c r="BS9" s="38" t="n">
        <v>62</v>
      </c>
      <c r="BT9" s="38" t="n">
        <v>63</v>
      </c>
      <c r="BU9" s="38" t="n">
        <v>64</v>
      </c>
      <c r="BV9" s="38" t="n">
        <v>65</v>
      </c>
      <c r="BW9" s="38" t="n">
        <v>66</v>
      </c>
      <c r="BX9" s="38" t="n">
        <v>67</v>
      </c>
      <c r="BY9" s="38" t="n">
        <v>68</v>
      </c>
      <c r="BZ9" s="38" t="n">
        <v>69</v>
      </c>
      <c r="CA9" s="38" t="n">
        <v>70</v>
      </c>
      <c r="CB9" s="38" t="n">
        <v>71</v>
      </c>
      <c r="CC9" s="38" t="n">
        <v>72</v>
      </c>
      <c r="CD9" s="38" t="n">
        <v>73</v>
      </c>
      <c r="CE9" s="38" t="n">
        <v>74</v>
      </c>
      <c r="CF9" s="38" t="n">
        <v>75</v>
      </c>
      <c r="CG9" s="38" t="n">
        <v>76</v>
      </c>
      <c r="CH9" s="38" t="n">
        <v>77</v>
      </c>
      <c r="CI9" s="38" t="n">
        <v>78</v>
      </c>
      <c r="CJ9" s="38" t="n">
        <v>79</v>
      </c>
      <c r="CK9" s="38" t="n">
        <v>80</v>
      </c>
      <c r="CL9" s="38" t="n">
        <v>81</v>
      </c>
      <c r="CM9" s="38" t="n">
        <v>82</v>
      </c>
      <c r="CN9" s="38" t="n">
        <v>83</v>
      </c>
      <c r="CO9" s="38" t="n">
        <v>84</v>
      </c>
      <c r="CP9" s="38" t="n">
        <v>85</v>
      </c>
      <c r="CQ9" s="38" t="n">
        <v>86</v>
      </c>
      <c r="CR9" s="38" t="n">
        <v>87</v>
      </c>
      <c r="CS9" s="38" t="n">
        <v>88</v>
      </c>
      <c r="CT9" s="38" t="n">
        <v>89</v>
      </c>
      <c r="CU9" s="38" t="n">
        <v>90</v>
      </c>
      <c r="CV9" s="38" t="n">
        <v>91</v>
      </c>
      <c r="CW9" s="38" t="n">
        <v>92</v>
      </c>
      <c r="CX9" s="38" t="n">
        <v>93</v>
      </c>
      <c r="CY9" s="38" t="n">
        <v>94</v>
      </c>
      <c r="CZ9" s="38" t="n">
        <v>95</v>
      </c>
      <c r="DA9" s="39" t="n">
        <v>96</v>
      </c>
    </row>
    <row r="10" outlineLevel="1" ht="14.4" customFormat="1" customHeight="1" s="244">
      <c r="A10" s="259">
        <f>MAX(J10:XFD10)</f>
        <v/>
      </c>
      <c r="B10" s="520" t="inlineStr">
        <is>
          <t>AS</t>
        </is>
      </c>
      <c r="C10" s="324" t="inlineStr">
        <is>
          <t>Delivery Manager</t>
        </is>
      </c>
      <c r="D10" s="485" t="n"/>
      <c r="E10" s="485" t="n"/>
      <c r="F10" s="324" t="inlineStr">
        <is>
          <t>PM</t>
        </is>
      </c>
      <c r="G10" s="521">
        <f>SUM(J10:DA10)</f>
        <v/>
      </c>
      <c r="H10" s="521">
        <f>G10*5</f>
        <v/>
      </c>
      <c r="I10" s="521">
        <f>H10*6.7</f>
        <v/>
      </c>
      <c r="J10" s="258" t="n"/>
      <c r="K10" s="258" t="n"/>
      <c r="L10" s="258" t="n"/>
      <c r="M10" s="258" t="n"/>
      <c r="N10" s="258" t="n"/>
      <c r="O10" s="258" t="n"/>
      <c r="P10" s="258" t="n"/>
      <c r="Q10" s="258" t="n"/>
      <c r="R10" s="258" t="n"/>
      <c r="S10" s="258" t="n"/>
      <c r="T10" s="258" t="n"/>
      <c r="U10" s="258" t="n"/>
      <c r="V10" s="258" t="n"/>
      <c r="W10" s="258" t="n"/>
      <c r="X10" s="258" t="n"/>
      <c r="Y10" s="258" t="n"/>
      <c r="Z10" s="258" t="n"/>
      <c r="AA10" s="258" t="n"/>
      <c r="AB10" s="258" t="n"/>
      <c r="AC10" s="258" t="n"/>
      <c r="AD10" s="258" t="n"/>
      <c r="AE10" s="258" t="n"/>
      <c r="AF10" s="258" t="n"/>
      <c r="AG10" s="258" t="n"/>
      <c r="AH10" s="258" t="n"/>
      <c r="AI10" s="258" t="n"/>
      <c r="AJ10" s="258" t="n"/>
      <c r="AK10" s="258" t="n"/>
      <c r="AL10" s="258" t="n"/>
      <c r="AM10" s="258" t="n"/>
      <c r="AN10" s="258" t="n"/>
      <c r="AO10" s="258" t="n"/>
      <c r="AP10" s="258" t="n"/>
      <c r="AQ10" s="258" t="n"/>
      <c r="AR10" s="258" t="n"/>
      <c r="AS10" s="258" t="n"/>
      <c r="AT10" s="258" t="n"/>
      <c r="AU10" s="258" t="n"/>
      <c r="AV10" s="258" t="n"/>
      <c r="AW10" s="258" t="n"/>
      <c r="AX10" s="258" t="n"/>
      <c r="AY10" s="258" t="n"/>
      <c r="AZ10" s="258" t="n"/>
      <c r="BA10" s="258" t="n"/>
      <c r="BB10" s="258" t="n"/>
      <c r="BC10" s="258" t="n"/>
      <c r="BD10" s="258" t="n"/>
      <c r="BE10" s="25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row>
    <row r="11" outlineLevel="1" ht="14.4" customFormat="1" customHeight="1" s="244">
      <c r="A11" s="259">
        <f>MAX(J11:XFD11)</f>
        <v/>
      </c>
      <c r="B11" s="522" t="n"/>
      <c r="C11" s="324" t="inlineStr">
        <is>
          <t>Automation Lead</t>
        </is>
      </c>
      <c r="D11" s="485" t="n"/>
      <c r="E11" s="485" t="n"/>
      <c r="F11" s="282" t="inlineStr">
        <is>
          <t>AL</t>
        </is>
      </c>
      <c r="G11" s="521">
        <f>SUM(J11:DA11)</f>
        <v/>
      </c>
      <c r="H11" s="521">
        <f>G11*5</f>
        <v/>
      </c>
      <c r="I11" s="521">
        <f>H11*6.7</f>
        <v/>
      </c>
      <c r="J11" s="150" t="n"/>
      <c r="K11" s="150" t="n"/>
      <c r="L11" s="150" t="n"/>
      <c r="M11" s="150" t="n"/>
      <c r="N11" s="150" t="n"/>
      <c r="O11" s="150" t="n"/>
      <c r="P11" s="150" t="n"/>
      <c r="Q11" s="150" t="n"/>
      <c r="R11" s="150" t="n"/>
      <c r="S11" s="150" t="n"/>
      <c r="T11" s="150" t="n"/>
      <c r="U11" s="150" t="n"/>
      <c r="V11" s="150" t="n"/>
      <c r="W11" s="150" t="n"/>
      <c r="X11" s="150" t="n"/>
      <c r="Y11" s="150" t="n"/>
      <c r="Z11" s="150" t="n"/>
      <c r="AA11" s="150" t="n"/>
      <c r="AB11" s="150" t="n"/>
      <c r="AC11" s="150" t="n"/>
      <c r="AD11" s="150" t="n"/>
      <c r="AE11" s="150" t="n"/>
      <c r="AF11" s="150" t="n"/>
      <c r="AG11" s="150" t="n"/>
      <c r="AH11" s="150" t="n"/>
      <c r="AI11" s="150" t="n"/>
      <c r="AJ11" s="150" t="n"/>
      <c r="AK11" s="150" t="n"/>
      <c r="AL11" s="150" t="n"/>
      <c r="AM11" s="150" t="n"/>
      <c r="AN11" s="150" t="n"/>
      <c r="AO11" s="150" t="n"/>
      <c r="AP11" s="150" t="n"/>
      <c r="AQ11" s="150" t="n"/>
      <c r="AR11" s="150" t="n"/>
      <c r="AS11" s="150" t="n"/>
      <c r="AT11" s="150" t="n"/>
      <c r="AU11" s="150" t="n"/>
      <c r="AV11" s="150" t="n"/>
      <c r="AW11" s="150" t="n"/>
      <c r="AX11" s="150" t="n"/>
      <c r="AY11" s="150" t="n"/>
      <c r="AZ11" s="150" t="n"/>
      <c r="BA11" s="150" t="n"/>
      <c r="BB11" s="150" t="n"/>
      <c r="BC11" s="150" t="n"/>
      <c r="BD11" s="150" t="n"/>
      <c r="BE11" s="152" t="n"/>
      <c r="BF11" s="150" t="n"/>
      <c r="BG11" s="150" t="n"/>
      <c r="BH11" s="150" t="n"/>
      <c r="BI11" s="150" t="n"/>
      <c r="BJ11" s="150" t="n"/>
      <c r="BK11" s="150" t="n"/>
      <c r="BL11" s="150" t="n"/>
      <c r="BM11" s="150" t="n"/>
      <c r="BN11" s="150" t="n"/>
      <c r="BO11" s="150" t="n"/>
      <c r="BP11" s="150" t="n"/>
      <c r="BQ11" s="150" t="n"/>
      <c r="BR11" s="150" t="n"/>
      <c r="BS11" s="150" t="n"/>
      <c r="BT11" s="150" t="n"/>
      <c r="BU11" s="150" t="n"/>
      <c r="BV11" s="150" t="n"/>
      <c r="BW11" s="150" t="n"/>
      <c r="BX11" s="150" t="n"/>
      <c r="BY11" s="150" t="n"/>
      <c r="BZ11" s="150" t="n"/>
      <c r="CA11" s="150" t="n"/>
      <c r="CB11" s="150" t="n"/>
      <c r="CC11" s="150" t="n"/>
      <c r="CD11" s="150" t="n"/>
      <c r="CE11" s="150" t="n"/>
      <c r="CF11" s="150" t="n"/>
      <c r="CG11" s="150" t="n"/>
      <c r="CH11" s="150" t="n"/>
      <c r="CI11" s="150" t="n"/>
      <c r="CJ11" s="150" t="n"/>
      <c r="CK11" s="150" t="n"/>
      <c r="CL11" s="150" t="n"/>
      <c r="CM11" s="150" t="n"/>
      <c r="CN11" s="150" t="n"/>
      <c r="CO11" s="150" t="n"/>
      <c r="CP11" s="150" t="n"/>
      <c r="CQ11" s="150" t="n"/>
      <c r="CR11" s="150" t="n"/>
      <c r="CS11" s="150" t="n"/>
      <c r="CT11" s="150" t="n"/>
      <c r="CU11" s="150" t="n"/>
      <c r="CV11" s="150" t="n"/>
      <c r="CW11" s="150" t="n"/>
      <c r="CX11" s="150" t="n"/>
      <c r="CY11" s="150" t="n"/>
      <c r="CZ11" s="150" t="n"/>
      <c r="DA11" s="150" t="n"/>
    </row>
    <row r="12" outlineLevel="1" ht="14.4" customFormat="1" customHeight="1" s="244">
      <c r="A12" s="259">
        <f>MAX(J12:XFD12)</f>
        <v/>
      </c>
      <c r="B12" s="522" t="n"/>
      <c r="C12" s="324" t="inlineStr">
        <is>
          <t>Senior Automation Engineer</t>
        </is>
      </c>
      <c r="D12" s="485" t="n"/>
      <c r="E12" s="485" t="n"/>
      <c r="F12" s="282" t="inlineStr">
        <is>
          <t>SAE</t>
        </is>
      </c>
      <c r="G12" s="521">
        <f>SUM(J12:DA12)</f>
        <v/>
      </c>
      <c r="H12" s="521">
        <f>G12*5</f>
        <v/>
      </c>
      <c r="I12" s="521">
        <f>H12*6.7</f>
        <v/>
      </c>
      <c r="J12" s="150" t="n"/>
      <c r="K12" s="150" t="n"/>
      <c r="L12" s="150" t="n"/>
      <c r="M12" s="150" t="n"/>
      <c r="N12" s="150" t="n"/>
      <c r="O12" s="150" t="n"/>
      <c r="P12" s="150" t="n"/>
      <c r="Q12" s="150" t="n"/>
      <c r="R12" s="150" t="n"/>
      <c r="S12" s="150" t="n"/>
      <c r="T12" s="150" t="n"/>
      <c r="U12" s="150" t="n"/>
      <c r="V12" s="150" t="n"/>
      <c r="W12" s="150" t="n"/>
      <c r="X12" s="150" t="n"/>
      <c r="Y12" s="150" t="n"/>
      <c r="Z12" s="150" t="n"/>
      <c r="AA12" s="150" t="n"/>
      <c r="AB12" s="150" t="n"/>
      <c r="AC12" s="150" t="n"/>
      <c r="AD12" s="150" t="n"/>
      <c r="AE12" s="150" t="n"/>
      <c r="AF12" s="150" t="n"/>
      <c r="AG12" s="150" t="n"/>
      <c r="AH12" s="150" t="n"/>
      <c r="AI12" s="150" t="n"/>
      <c r="AJ12" s="150" t="n"/>
      <c r="AK12" s="150" t="n"/>
      <c r="AL12" s="150" t="n"/>
      <c r="AM12" s="150" t="n"/>
      <c r="AN12" s="150" t="n"/>
      <c r="AO12" s="150" t="n"/>
      <c r="AP12" s="150" t="n"/>
      <c r="AQ12" s="150" t="n"/>
      <c r="AR12" s="150" t="n"/>
      <c r="AS12" s="150" t="n"/>
      <c r="AT12" s="150" t="n"/>
      <c r="AU12" s="150" t="n"/>
      <c r="AV12" s="150" t="n"/>
      <c r="AW12" s="150" t="n"/>
      <c r="AX12" s="150" t="n"/>
      <c r="AY12" s="150" t="n"/>
      <c r="AZ12" s="150" t="n"/>
      <c r="BA12" s="150" t="n"/>
      <c r="BB12" s="150" t="n"/>
      <c r="BC12" s="150" t="n"/>
      <c r="BD12" s="150" t="n"/>
      <c r="BE12" s="152" t="n"/>
      <c r="BF12" s="150" t="n"/>
      <c r="BG12" s="150" t="n"/>
      <c r="BH12" s="150" t="n"/>
      <c r="BI12" s="150" t="n"/>
      <c r="BJ12" s="150" t="n"/>
      <c r="BK12" s="150" t="n"/>
      <c r="BL12" s="150" t="n"/>
      <c r="BM12" s="150" t="n"/>
      <c r="BN12" s="150" t="n"/>
      <c r="BO12" s="150" t="n"/>
      <c r="BP12" s="150" t="n"/>
      <c r="BQ12" s="150" t="n"/>
      <c r="BR12" s="150" t="n"/>
      <c r="BS12" s="150" t="n"/>
      <c r="BT12" s="150" t="n"/>
      <c r="BU12" s="150" t="n"/>
      <c r="BV12" s="150" t="n"/>
      <c r="BW12" s="150" t="n"/>
      <c r="BX12" s="150" t="n"/>
      <c r="BY12" s="150" t="n"/>
      <c r="BZ12" s="150" t="n"/>
      <c r="CA12" s="150" t="n"/>
      <c r="CB12" s="150" t="n"/>
      <c r="CC12" s="150" t="n"/>
      <c r="CD12" s="150" t="n"/>
      <c r="CE12" s="150" t="n"/>
      <c r="CF12" s="150" t="n"/>
      <c r="CG12" s="150" t="n"/>
      <c r="CH12" s="150" t="n"/>
      <c r="CI12" s="150" t="n"/>
      <c r="CJ12" s="150" t="n"/>
      <c r="CK12" s="150" t="n"/>
      <c r="CL12" s="150" t="n"/>
      <c r="CM12" s="150" t="n"/>
      <c r="CN12" s="150" t="n"/>
      <c r="CO12" s="150" t="n"/>
      <c r="CP12" s="150" t="n"/>
      <c r="CQ12" s="150" t="n"/>
      <c r="CR12" s="150" t="n"/>
      <c r="CS12" s="150" t="n"/>
      <c r="CT12" s="150" t="n"/>
      <c r="CU12" s="150" t="n"/>
      <c r="CV12" s="150" t="n"/>
      <c r="CW12" s="150" t="n"/>
      <c r="CX12" s="150" t="n"/>
      <c r="CY12" s="150" t="n"/>
      <c r="CZ12" s="150" t="n"/>
      <c r="DA12" s="150" t="n"/>
    </row>
    <row r="13" outlineLevel="1" ht="14.4" customFormat="1" customHeight="1" s="244">
      <c r="A13" s="259">
        <f>MAX(J13:XFD13)</f>
        <v/>
      </c>
      <c r="B13" s="522" t="n"/>
      <c r="C13" s="324" t="inlineStr">
        <is>
          <t>Automation Engineer</t>
        </is>
      </c>
      <c r="D13" s="485" t="n"/>
      <c r="E13" s="485" t="n"/>
      <c r="F13" s="282" t="inlineStr">
        <is>
          <t>AE</t>
        </is>
      </c>
      <c r="G13" s="521">
        <f>SUM(J13:DA13)</f>
        <v/>
      </c>
      <c r="H13" s="521">
        <f>G13*5</f>
        <v/>
      </c>
      <c r="I13" s="521">
        <f>H13*6.7</f>
        <v/>
      </c>
      <c r="J13" s="150" t="n"/>
      <c r="K13" s="150" t="n"/>
      <c r="L13" s="150" t="n"/>
      <c r="M13" s="150" t="n"/>
      <c r="N13" s="150" t="n"/>
      <c r="O13" s="150" t="n"/>
      <c r="P13" s="150" t="n"/>
      <c r="Q13" s="150" t="n"/>
      <c r="R13" s="150" t="n"/>
      <c r="S13" s="150" t="n"/>
      <c r="T13" s="150" t="n"/>
      <c r="U13" s="150" t="n"/>
      <c r="V13" s="150" t="n"/>
      <c r="W13" s="150" t="n"/>
      <c r="X13" s="150" t="n"/>
      <c r="Y13" s="150" t="n"/>
      <c r="Z13" s="150" t="n"/>
      <c r="AA13" s="150" t="n"/>
      <c r="AB13" s="150" t="n"/>
      <c r="AC13" s="150" t="n"/>
      <c r="AD13" s="150" t="n"/>
      <c r="AE13" s="150" t="n"/>
      <c r="AF13" s="150" t="n"/>
      <c r="AG13" s="150" t="n"/>
      <c r="AH13" s="150" t="n"/>
      <c r="AI13" s="150" t="n"/>
      <c r="AJ13" s="150" t="n"/>
      <c r="AK13" s="150" t="n"/>
      <c r="AL13" s="150" t="n"/>
      <c r="AM13" s="150" t="n"/>
      <c r="AN13" s="150" t="n"/>
      <c r="AO13" s="150" t="n"/>
      <c r="AP13" s="150" t="n"/>
      <c r="AQ13" s="150" t="n"/>
      <c r="AR13" s="150" t="n"/>
      <c r="AS13" s="150" t="n"/>
      <c r="AT13" s="150" t="n"/>
      <c r="AU13" s="150" t="n"/>
      <c r="AV13" s="150" t="n"/>
      <c r="AW13" s="150" t="n"/>
      <c r="AX13" s="150" t="n"/>
      <c r="AY13" s="150" t="n"/>
      <c r="AZ13" s="150" t="n"/>
      <c r="BA13" s="150" t="n"/>
      <c r="BB13" s="150" t="n"/>
      <c r="BC13" s="150" t="n"/>
      <c r="BD13" s="150" t="n"/>
      <c r="BE13" s="152" t="n"/>
      <c r="BF13" s="150" t="n"/>
      <c r="BG13" s="150" t="n"/>
      <c r="BH13" s="150" t="n"/>
      <c r="BI13" s="150" t="n"/>
      <c r="BJ13" s="150" t="n"/>
      <c r="BK13" s="150" t="n"/>
      <c r="BL13" s="150" t="n"/>
      <c r="BM13" s="150" t="n"/>
      <c r="BN13" s="150" t="n"/>
      <c r="BO13" s="150" t="n"/>
      <c r="BP13" s="150" t="n"/>
      <c r="BQ13" s="150" t="n"/>
      <c r="BR13" s="150" t="n"/>
      <c r="BS13" s="150" t="n"/>
      <c r="BT13" s="150" t="n"/>
      <c r="BU13" s="150" t="n"/>
      <c r="BV13" s="150" t="n"/>
      <c r="BW13" s="150" t="n"/>
      <c r="BX13" s="150" t="n"/>
      <c r="BY13" s="150" t="n"/>
      <c r="BZ13" s="150" t="n"/>
      <c r="CA13" s="150" t="n"/>
      <c r="CB13" s="150" t="n"/>
      <c r="CC13" s="150" t="n"/>
      <c r="CD13" s="150" t="n"/>
      <c r="CE13" s="150" t="n"/>
      <c r="CF13" s="150" t="n"/>
      <c r="CG13" s="150" t="n"/>
      <c r="CH13" s="150" t="n"/>
      <c r="CI13" s="150" t="n"/>
      <c r="CJ13" s="150" t="n"/>
      <c r="CK13" s="150" t="n"/>
      <c r="CL13" s="150" t="n"/>
      <c r="CM13" s="150" t="n"/>
      <c r="CN13" s="150" t="n"/>
      <c r="CO13" s="150" t="n"/>
      <c r="CP13" s="150" t="n"/>
      <c r="CQ13" s="150" t="n"/>
      <c r="CR13" s="150" t="n"/>
      <c r="CS13" s="150" t="n"/>
      <c r="CT13" s="150" t="n"/>
      <c r="CU13" s="150" t="n"/>
      <c r="CV13" s="150" t="n"/>
      <c r="CW13" s="150" t="n"/>
      <c r="CX13" s="150" t="n"/>
      <c r="CY13" s="150" t="n"/>
      <c r="CZ13" s="150" t="n"/>
      <c r="DA13" s="150" t="n"/>
    </row>
    <row r="14" outlineLevel="1" ht="14.4" customFormat="1" customHeight="1" s="244" thickBot="1">
      <c r="A14" s="259">
        <f>MAX(J14:XFD14)</f>
        <v/>
      </c>
      <c r="B14" s="523" t="n"/>
      <c r="C14" s="325" t="inlineStr">
        <is>
          <t>Commissioning Engineer</t>
        </is>
      </c>
      <c r="D14" s="196" t="n"/>
      <c r="E14" s="196" t="n"/>
      <c r="F14" s="323" t="inlineStr">
        <is>
          <t>CE</t>
        </is>
      </c>
      <c r="G14" s="524">
        <f>SUM(J14:DA14)</f>
        <v/>
      </c>
      <c r="H14" s="524">
        <f>G14*5</f>
        <v/>
      </c>
      <c r="I14" s="524">
        <f>H14*6.7</f>
        <v/>
      </c>
      <c r="J14" s="199" t="n"/>
      <c r="K14" s="199" t="n"/>
      <c r="L14" s="199" t="n"/>
      <c r="M14" s="199" t="n"/>
      <c r="N14" s="199" t="n"/>
      <c r="O14" s="199" t="n"/>
      <c r="P14" s="199" t="n"/>
      <c r="Q14" s="199" t="n"/>
      <c r="R14" s="199" t="n"/>
      <c r="S14" s="199" t="n"/>
      <c r="T14" s="199" t="n"/>
      <c r="U14" s="199" t="n"/>
      <c r="V14" s="199" t="n"/>
      <c r="W14" s="199" t="n"/>
      <c r="X14" s="199" t="n"/>
      <c r="Y14" s="199" t="n"/>
      <c r="Z14" s="199" t="n"/>
      <c r="AA14" s="199" t="n"/>
      <c r="AB14" s="199" t="n"/>
      <c r="AC14" s="199" t="n"/>
      <c r="AD14" s="199" t="n"/>
      <c r="AE14" s="199" t="n"/>
      <c r="AF14" s="199" t="n"/>
      <c r="AG14" s="199" t="n"/>
      <c r="AH14" s="199" t="n"/>
      <c r="AI14" s="199" t="n"/>
      <c r="AJ14" s="199" t="n"/>
      <c r="AK14" s="199" t="n"/>
      <c r="AL14" s="199" t="n"/>
      <c r="AM14" s="199" t="n"/>
      <c r="AN14" s="199" t="n"/>
      <c r="AO14" s="199" t="n"/>
      <c r="AP14" s="199" t="n"/>
      <c r="AQ14" s="199" t="n"/>
      <c r="AR14" s="199" t="n"/>
      <c r="AS14" s="199" t="n"/>
      <c r="AT14" s="199" t="n"/>
      <c r="AU14" s="199" t="n"/>
      <c r="AV14" s="199" t="n"/>
      <c r="AW14" s="199" t="n"/>
      <c r="AX14" s="199" t="n"/>
      <c r="AY14" s="199" t="n"/>
      <c r="AZ14" s="199" t="n"/>
      <c r="BA14" s="199" t="n"/>
      <c r="BB14" s="199" t="n"/>
      <c r="BC14" s="199" t="n"/>
      <c r="BD14" s="199" t="n"/>
      <c r="BE14" s="200" t="n"/>
      <c r="BF14" s="199" t="n"/>
      <c r="BG14" s="199" t="n"/>
      <c r="BH14" s="199" t="n"/>
      <c r="BI14" s="199" t="n"/>
      <c r="BJ14" s="199" t="n"/>
      <c r="BK14" s="199" t="n"/>
      <c r="BL14" s="199" t="n"/>
      <c r="BM14" s="199" t="n"/>
      <c r="BN14" s="199" t="n"/>
      <c r="BO14" s="199" t="n"/>
      <c r="BP14" s="199" t="n"/>
      <c r="BQ14" s="199" t="n"/>
      <c r="BR14" s="199" t="n"/>
      <c r="BS14" s="199" t="n"/>
      <c r="BT14" s="199" t="n"/>
      <c r="BU14" s="199" t="n"/>
      <c r="BV14" s="199" t="n"/>
      <c r="BW14" s="199" t="n"/>
      <c r="BX14" s="199" t="n"/>
      <c r="BY14" s="199" t="n"/>
      <c r="BZ14" s="199" t="n"/>
      <c r="CA14" s="199" t="n"/>
      <c r="CB14" s="199" t="n"/>
      <c r="CC14" s="199" t="n"/>
      <c r="CD14" s="199" t="n"/>
      <c r="CE14" s="199" t="n"/>
      <c r="CF14" s="199" t="n"/>
      <c r="CG14" s="199" t="n"/>
      <c r="CH14" s="199" t="n"/>
      <c r="CI14" s="199" t="n"/>
      <c r="CJ14" s="199" t="n"/>
      <c r="CK14" s="199" t="n"/>
      <c r="CL14" s="199" t="n"/>
      <c r="CM14" s="199" t="n"/>
      <c r="CN14" s="199" t="n"/>
      <c r="CO14" s="199" t="n"/>
      <c r="CP14" s="199" t="n"/>
      <c r="CQ14" s="199" t="n"/>
      <c r="CR14" s="199" t="n"/>
      <c r="CS14" s="199" t="n"/>
      <c r="CT14" s="199" t="n"/>
      <c r="CU14" s="199" t="n"/>
      <c r="CV14" s="199" t="n"/>
      <c r="CW14" s="199" t="n"/>
      <c r="CX14" s="199" t="n"/>
      <c r="CY14" s="199" t="n"/>
      <c r="CZ14" s="199" t="n"/>
      <c r="DA14" s="199" t="n"/>
    </row>
    <row r="15" outlineLevel="1" ht="14.4" customFormat="1" customHeight="1" s="244">
      <c r="A15" s="259">
        <f>MAX(J15:XFD15)</f>
        <v/>
      </c>
      <c r="B15" s="332" t="inlineStr">
        <is>
          <t>PANEL</t>
        </is>
      </c>
      <c r="C15" s="281" t="inlineStr">
        <is>
          <t>EPLAN Engineer</t>
        </is>
      </c>
      <c r="D15" s="499" t="n"/>
      <c r="E15" s="499" t="n"/>
      <c r="F15" s="236" t="inlineStr">
        <is>
          <t>EE</t>
        </is>
      </c>
      <c r="G15" s="525">
        <f>SUM(J15:DA15)</f>
        <v/>
      </c>
      <c r="H15" s="525">
        <f>G15*5</f>
        <v/>
      </c>
      <c r="I15" s="525">
        <f>H15*6.7</f>
        <v/>
      </c>
      <c r="J15" s="198" t="n"/>
      <c r="K15" s="198" t="n"/>
      <c r="L15" s="198" t="n"/>
      <c r="M15" s="198" t="n"/>
      <c r="N15" s="198" t="n"/>
      <c r="O15" s="198" t="n"/>
      <c r="P15" s="198" t="n"/>
      <c r="Q15" s="198" t="n"/>
      <c r="R15" s="198" t="n"/>
      <c r="S15" s="198"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201"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row>
    <row r="16" outlineLevel="1" ht="14.4" customFormat="1" customHeight="1" s="244">
      <c r="A16" s="259">
        <f>MAX(J16:XFD16)</f>
        <v/>
      </c>
      <c r="B16" s="522" t="n"/>
      <c r="C16" s="282" t="inlineStr">
        <is>
          <t>Panel Manufacturing Engineer</t>
        </is>
      </c>
      <c r="D16" s="485" t="n"/>
      <c r="E16" s="485" t="n"/>
      <c r="F16" s="238" t="inlineStr">
        <is>
          <t>PME</t>
        </is>
      </c>
      <c r="G16" s="526">
        <f>SUM(J16:DA16)</f>
        <v/>
      </c>
      <c r="H16" s="526">
        <f>G16*5</f>
        <v/>
      </c>
      <c r="I16" s="526">
        <f>H16*6.7</f>
        <v/>
      </c>
      <c r="J16" s="150" t="n"/>
      <c r="K16" s="150" t="n"/>
      <c r="L16" s="150" t="n"/>
      <c r="M16" s="150" t="n"/>
      <c r="N16" s="150" t="n"/>
      <c r="O16" s="150" t="n"/>
      <c r="P16" s="150" t="n"/>
      <c r="Q16" s="150" t="n"/>
      <c r="R16" s="150" t="n"/>
      <c r="S16" s="150" t="n"/>
      <c r="T16" s="150" t="n"/>
      <c r="U16" s="150" t="n"/>
      <c r="V16" s="150" t="n"/>
      <c r="W16" s="150" t="n"/>
      <c r="X16" s="150" t="n"/>
      <c r="Y16" s="150" t="n"/>
      <c r="Z16" s="150" t="n"/>
      <c r="AA16" s="150" t="n"/>
      <c r="AB16" s="150" t="n"/>
      <c r="AC16" s="150" t="n"/>
      <c r="AD16" s="150" t="n"/>
      <c r="AE16" s="150" t="n"/>
      <c r="AF16" s="150" t="n"/>
      <c r="AG16" s="150" t="n"/>
      <c r="AH16" s="150" t="n"/>
      <c r="AI16" s="150" t="n"/>
      <c r="AJ16" s="150" t="n"/>
      <c r="AK16" s="150" t="n"/>
      <c r="AL16" s="150" t="n"/>
      <c r="AM16" s="150" t="n"/>
      <c r="AN16" s="150" t="n"/>
      <c r="AO16" s="150" t="n"/>
      <c r="AP16" s="150" t="n"/>
      <c r="AQ16" s="150" t="n"/>
      <c r="AR16" s="150" t="n"/>
      <c r="AS16" s="150" t="n"/>
      <c r="AT16" s="150" t="n"/>
      <c r="AU16" s="150" t="n"/>
      <c r="AV16" s="150" t="n"/>
      <c r="AW16" s="150" t="n"/>
      <c r="AX16" s="150" t="n"/>
      <c r="AY16" s="150" t="n"/>
      <c r="AZ16" s="150" t="n"/>
      <c r="BA16" s="150" t="n"/>
      <c r="BB16" s="150" t="n"/>
      <c r="BC16" s="150" t="n"/>
      <c r="BD16" s="150" t="n"/>
      <c r="BE16" s="152" t="n"/>
      <c r="BF16" s="150" t="n"/>
      <c r="BG16" s="150" t="n"/>
      <c r="BH16" s="150" t="n"/>
      <c r="BI16" s="150" t="n"/>
      <c r="BJ16" s="150" t="n"/>
      <c r="BK16" s="150" t="n"/>
      <c r="BL16" s="150" t="n"/>
      <c r="BM16" s="150" t="n"/>
      <c r="BN16" s="150" t="n"/>
      <c r="BO16" s="150" t="n"/>
      <c r="BP16" s="150" t="n"/>
      <c r="BQ16" s="150" t="n"/>
      <c r="BR16" s="150" t="n"/>
      <c r="BS16" s="150" t="n"/>
      <c r="BT16" s="150" t="n"/>
      <c r="BU16" s="150" t="n"/>
      <c r="BV16" s="150" t="n"/>
      <c r="BW16" s="150" t="n"/>
      <c r="BX16" s="150" t="n"/>
      <c r="BY16" s="150" t="n"/>
      <c r="BZ16" s="150" t="n"/>
      <c r="CA16" s="150" t="n"/>
      <c r="CB16" s="150" t="n"/>
      <c r="CC16" s="150" t="n"/>
      <c r="CD16" s="150" t="n"/>
      <c r="CE16" s="150" t="n"/>
      <c r="CF16" s="150" t="n"/>
      <c r="CG16" s="150" t="n"/>
      <c r="CH16" s="150" t="n"/>
      <c r="CI16" s="150" t="n"/>
      <c r="CJ16" s="150" t="n"/>
      <c r="CK16" s="150" t="n"/>
      <c r="CL16" s="150" t="n"/>
      <c r="CM16" s="150" t="n"/>
      <c r="CN16" s="150" t="n"/>
      <c r="CO16" s="150" t="n"/>
      <c r="CP16" s="150" t="n"/>
      <c r="CQ16" s="150" t="n"/>
      <c r="CR16" s="150" t="n"/>
      <c r="CS16" s="150" t="n"/>
      <c r="CT16" s="150" t="n"/>
      <c r="CU16" s="150" t="n"/>
      <c r="CV16" s="150" t="n"/>
      <c r="CW16" s="150" t="n"/>
      <c r="CX16" s="150" t="n"/>
      <c r="CY16" s="150" t="n"/>
      <c r="CZ16" s="150" t="n"/>
      <c r="DA16" s="150" t="n"/>
    </row>
    <row r="17" outlineLevel="1" ht="15" customFormat="1" customHeight="1" s="244" thickBot="1">
      <c r="A17" s="259">
        <f>MAX(J17:XFD17)</f>
        <v/>
      </c>
      <c r="B17" s="522" t="n"/>
      <c r="C17" s="323" t="inlineStr">
        <is>
          <t>EPLAN Senior Engineer</t>
        </is>
      </c>
      <c r="D17" s="196" t="n"/>
      <c r="E17" s="196" t="n"/>
      <c r="F17" s="239" t="inlineStr">
        <is>
          <t>ESE</t>
        </is>
      </c>
      <c r="G17" s="526">
        <f>SUM(J17:DA17)</f>
        <v/>
      </c>
      <c r="H17" s="526">
        <f>G17*5</f>
        <v/>
      </c>
      <c r="I17" s="526">
        <f>H17*6.7</f>
        <v/>
      </c>
      <c r="J17" s="150" t="n"/>
      <c r="K17" s="150" t="n"/>
      <c r="L17" s="150" t="n"/>
      <c r="M17" s="150" t="n"/>
      <c r="N17" s="150" t="n"/>
      <c r="O17" s="150" t="n"/>
      <c r="P17" s="150" t="n"/>
      <c r="Q17" s="150" t="n"/>
      <c r="R17" s="150" t="n"/>
      <c r="S17" s="150" t="n"/>
      <c r="T17" s="150" t="n"/>
      <c r="U17" s="150" t="n"/>
      <c r="V17" s="150" t="n"/>
      <c r="W17" s="150" t="n"/>
      <c r="X17" s="150" t="n"/>
      <c r="Y17" s="150" t="n"/>
      <c r="Z17" s="150" t="n"/>
      <c r="AA17" s="150" t="n"/>
      <c r="AB17" s="150" t="n"/>
      <c r="AC17" s="150" t="n"/>
      <c r="AD17" s="150" t="n"/>
      <c r="AE17" s="150" t="n"/>
      <c r="AF17" s="150" t="n"/>
      <c r="AG17" s="150" t="n"/>
      <c r="AH17" s="150" t="n"/>
      <c r="AI17" s="150" t="n"/>
      <c r="AJ17" s="150" t="n"/>
      <c r="AK17" s="150" t="n"/>
      <c r="AL17" s="150" t="n"/>
      <c r="AM17" s="150" t="n"/>
      <c r="AN17" s="150" t="n"/>
      <c r="AO17" s="150" t="n"/>
      <c r="AP17" s="150" t="n"/>
      <c r="AQ17" s="150" t="n"/>
      <c r="AR17" s="150" t="n"/>
      <c r="AS17" s="150" t="n"/>
      <c r="AT17" s="150" t="n"/>
      <c r="AU17" s="150" t="n"/>
      <c r="AV17" s="150" t="n"/>
      <c r="AW17" s="150" t="n"/>
      <c r="AX17" s="150" t="n"/>
      <c r="AY17" s="150" t="n"/>
      <c r="AZ17" s="150" t="n"/>
      <c r="BA17" s="150" t="n"/>
      <c r="BB17" s="150" t="n"/>
      <c r="BC17" s="150" t="n"/>
      <c r="BD17" s="150" t="n"/>
      <c r="BE17" s="152" t="n"/>
      <c r="BF17" s="150" t="n"/>
      <c r="BG17" s="150" t="n"/>
      <c r="BH17" s="150" t="n"/>
      <c r="BI17" s="150" t="n"/>
      <c r="BJ17" s="150" t="n"/>
      <c r="BK17" s="150" t="n"/>
      <c r="BL17" s="150" t="n"/>
      <c r="BM17" s="150" t="n"/>
      <c r="BN17" s="150" t="n"/>
      <c r="BO17" s="150" t="n"/>
      <c r="BP17" s="150" t="n"/>
      <c r="BQ17" s="150" t="n"/>
      <c r="BR17" s="150" t="n"/>
      <c r="BS17" s="150" t="n"/>
      <c r="BT17" s="150" t="n"/>
      <c r="BU17" s="150" t="n"/>
      <c r="BV17" s="150" t="n"/>
      <c r="BW17" s="150" t="n"/>
      <c r="BX17" s="150" t="n"/>
      <c r="BY17" s="150" t="n"/>
      <c r="BZ17" s="150" t="n"/>
      <c r="CA17" s="150" t="n"/>
      <c r="CB17" s="150" t="n"/>
      <c r="CC17" s="150" t="n"/>
      <c r="CD17" s="150" t="n"/>
      <c r="CE17" s="150" t="n"/>
      <c r="CF17" s="150" t="n"/>
      <c r="CG17" s="150" t="n"/>
      <c r="CH17" s="150" t="n"/>
      <c r="CI17" s="150" t="n"/>
      <c r="CJ17" s="150" t="n"/>
      <c r="CK17" s="150" t="n"/>
      <c r="CL17" s="150" t="n"/>
      <c r="CM17" s="150" t="n"/>
      <c r="CN17" s="150" t="n"/>
      <c r="CO17" s="150" t="n"/>
      <c r="CP17" s="150" t="n"/>
      <c r="CQ17" s="150" t="n"/>
      <c r="CR17" s="150" t="n"/>
      <c r="CS17" s="150" t="n"/>
      <c r="CT17" s="150" t="n"/>
      <c r="CU17" s="150" t="n"/>
      <c r="CV17" s="150" t="n"/>
      <c r="CW17" s="150" t="n"/>
      <c r="CX17" s="150" t="n"/>
      <c r="CY17" s="150" t="n"/>
      <c r="CZ17" s="150" t="n"/>
      <c r="DA17" s="150" t="n"/>
    </row>
    <row r="18" outlineLevel="1" ht="14.4" customFormat="1" customHeight="1" s="246">
      <c r="A18" s="245" t="n">
        <v>1</v>
      </c>
      <c r="B18" s="520" t="inlineStr">
        <is>
          <t>DM</t>
        </is>
      </c>
      <c r="C18" s="281" t="inlineStr">
        <is>
          <t>Delivery Manager</t>
        </is>
      </c>
      <c r="D18" s="499" t="n"/>
      <c r="E18" s="499" t="n"/>
      <c r="F18" s="281" t="inlineStr">
        <is>
          <t>PM</t>
        </is>
      </c>
      <c r="G18" s="527" t="n">
        <v>22</v>
      </c>
      <c r="H18" s="527" t="n">
        <v>22</v>
      </c>
      <c r="I18" s="527" t="n">
        <v>176</v>
      </c>
      <c r="J18" s="198" t="n">
        <v>0</v>
      </c>
      <c r="K18" s="198" t="n">
        <v>0</v>
      </c>
      <c r="L18" s="198" t="n">
        <v>0</v>
      </c>
      <c r="M18" s="198" t="n">
        <v>0</v>
      </c>
      <c r="N18" s="198" t="n">
        <v>0</v>
      </c>
      <c r="O18" s="198" t="n">
        <v>0</v>
      </c>
      <c r="P18" s="198" t="n">
        <v>0</v>
      </c>
      <c r="Q18" s="198" t="n">
        <v>0</v>
      </c>
      <c r="R18" s="198" t="n">
        <v>0</v>
      </c>
      <c r="S18" s="198" t="n">
        <v>0</v>
      </c>
      <c r="T18" s="198" t="n">
        <v>0</v>
      </c>
      <c r="U18" s="198" t="n">
        <v>0</v>
      </c>
      <c r="V18" s="198" t="n">
        <v>0</v>
      </c>
      <c r="W18" s="198" t="n">
        <v>0</v>
      </c>
      <c r="X18" s="198" t="n">
        <v>0</v>
      </c>
      <c r="Y18" s="198" t="n">
        <v>0</v>
      </c>
      <c r="Z18" s="198" t="n">
        <v>0</v>
      </c>
      <c r="AA18" s="198" t="n">
        <v>0</v>
      </c>
      <c r="AB18" s="198" t="n">
        <v>0</v>
      </c>
      <c r="AC18" s="198" t="n">
        <v>0</v>
      </c>
      <c r="AD18" s="198" t="n">
        <v>0</v>
      </c>
      <c r="AE18" s="198" t="n">
        <v>0</v>
      </c>
      <c r="AF18" s="198" t="n">
        <v>0</v>
      </c>
      <c r="AG18" s="198" t="n">
        <v>0</v>
      </c>
      <c r="AH18" s="198" t="n">
        <v>0</v>
      </c>
      <c r="AI18" s="198" t="n">
        <v>0</v>
      </c>
      <c r="AJ18" s="198" t="n">
        <v>0</v>
      </c>
      <c r="AK18" s="198" t="n">
        <v>0</v>
      </c>
      <c r="AL18" s="198" t="n">
        <v>0</v>
      </c>
      <c r="AM18" s="198" t="n">
        <v>0</v>
      </c>
      <c r="AN18" s="198" t="n">
        <v>0</v>
      </c>
      <c r="AO18" s="198" t="n">
        <v>0</v>
      </c>
      <c r="AP18" s="198" t="n">
        <v>0</v>
      </c>
      <c r="AQ18" s="198" t="n">
        <v>0</v>
      </c>
      <c r="AR18" s="198" t="n">
        <v>0</v>
      </c>
      <c r="AS18" s="198" t="n">
        <v>0</v>
      </c>
      <c r="AT18" s="198" t="n">
        <v>0</v>
      </c>
      <c r="AU18" s="198" t="n">
        <v>0</v>
      </c>
      <c r="AV18" s="198" t="n">
        <v>0</v>
      </c>
      <c r="AW18" s="198" t="n">
        <v>0</v>
      </c>
      <c r="AX18" s="198" t="n">
        <v>0</v>
      </c>
      <c r="AY18" s="198" t="n">
        <v>0</v>
      </c>
      <c r="AZ18" s="198" t="n">
        <v>0</v>
      </c>
      <c r="BA18" s="198" t="n">
        <v>0</v>
      </c>
      <c r="BB18" s="198" t="n">
        <v>0</v>
      </c>
      <c r="BC18" s="198" t="n">
        <v>0</v>
      </c>
      <c r="BD18" s="198" t="n">
        <v>0</v>
      </c>
      <c r="BE18" s="201" t="n">
        <v>0</v>
      </c>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row>
    <row r="19" outlineLevel="1" ht="14.4" customFormat="1" customHeight="1" s="244">
      <c r="A19" s="247">
        <f>MAX(J19:XFD19)</f>
        <v/>
      </c>
      <c r="B19" s="522" t="n"/>
      <c r="C19" s="282" t="inlineStr">
        <is>
          <t>Solution Technical Architect</t>
        </is>
      </c>
      <c r="D19" s="485" t="n"/>
      <c r="E19" s="485" t="n"/>
      <c r="F19" s="282" t="inlineStr">
        <is>
          <t>STA</t>
        </is>
      </c>
      <c r="G19" s="521">
        <f>SUM(J19:DA19)</f>
        <v/>
      </c>
      <c r="H19" s="521">
        <f>G19*5</f>
        <v/>
      </c>
      <c r="I19" s="521">
        <f>H19*6.7</f>
        <v/>
      </c>
      <c r="J19" s="150" t="n"/>
      <c r="K19" s="150" t="n"/>
      <c r="L19" s="150" t="n"/>
      <c r="M19" s="150" t="n"/>
      <c r="N19" s="150" t="n"/>
      <c r="O19" s="150" t="n"/>
      <c r="P19" s="150" t="n"/>
      <c r="Q19" s="150" t="n"/>
      <c r="R19" s="150" t="n"/>
      <c r="S19" s="150" t="n"/>
      <c r="T19" s="150" t="n"/>
      <c r="U19" s="150" t="n"/>
      <c r="V19" s="150" t="n"/>
      <c r="W19" s="150" t="n"/>
      <c r="X19" s="150" t="n"/>
      <c r="Y19" s="150" t="n"/>
      <c r="Z19" s="150" t="n"/>
      <c r="AA19" s="150" t="n"/>
      <c r="AB19" s="150" t="n"/>
      <c r="AC19" s="150" t="n"/>
      <c r="AD19" s="150" t="n"/>
      <c r="AE19" s="150" t="n"/>
      <c r="AF19" s="150" t="n"/>
      <c r="AG19" s="150" t="n"/>
      <c r="AH19" s="150" t="n"/>
      <c r="AI19" s="150" t="n"/>
      <c r="AJ19" s="150" t="n"/>
      <c r="AK19" s="150" t="n"/>
      <c r="AL19" s="150" t="n"/>
      <c r="AM19" s="150" t="n"/>
      <c r="AN19" s="150" t="n"/>
      <c r="AO19" s="150" t="n"/>
      <c r="AP19" s="150" t="n"/>
      <c r="AQ19" s="150" t="n"/>
      <c r="AR19" s="150" t="n"/>
      <c r="AS19" s="150" t="n"/>
      <c r="AT19" s="150" t="n"/>
      <c r="AU19" s="150" t="n"/>
      <c r="AV19" s="150" t="n"/>
      <c r="AW19" s="150" t="n"/>
      <c r="AX19" s="150" t="n"/>
      <c r="AY19" s="150" t="n"/>
      <c r="AZ19" s="150" t="n"/>
      <c r="BA19" s="150" t="n"/>
      <c r="BB19" s="150" t="n"/>
      <c r="BC19" s="150" t="n"/>
      <c r="BD19" s="150" t="n"/>
      <c r="BE19" s="152" t="n"/>
      <c r="BF19" s="150" t="n"/>
      <c r="BG19" s="150" t="n"/>
      <c r="BH19" s="150" t="n"/>
      <c r="BI19" s="150" t="n"/>
      <c r="BJ19" s="150" t="n"/>
      <c r="BK19" s="150" t="n"/>
      <c r="BL19" s="150" t="n"/>
      <c r="BM19" s="150" t="n"/>
      <c r="BN19" s="150" t="n"/>
      <c r="BO19" s="150" t="n"/>
      <c r="BP19" s="150" t="n"/>
      <c r="BQ19" s="150" t="n"/>
      <c r="BR19" s="150" t="n"/>
      <c r="BS19" s="150" t="n"/>
      <c r="BT19" s="150" t="n"/>
      <c r="BU19" s="150" t="n"/>
      <c r="BV19" s="150" t="n"/>
      <c r="BW19" s="150" t="n"/>
      <c r="BX19" s="150" t="n"/>
      <c r="BY19" s="150" t="n"/>
      <c r="BZ19" s="150" t="n"/>
      <c r="CA19" s="150" t="n"/>
      <c r="CB19" s="150" t="n"/>
      <c r="CC19" s="150" t="n"/>
      <c r="CD19" s="150" t="n"/>
      <c r="CE19" s="150" t="n"/>
      <c r="CF19" s="150" t="n"/>
      <c r="CG19" s="150" t="n"/>
      <c r="CH19" s="150" t="n"/>
      <c r="CI19" s="150" t="n"/>
      <c r="CJ19" s="150" t="n"/>
      <c r="CK19" s="150" t="n"/>
      <c r="CL19" s="150" t="n"/>
      <c r="CM19" s="150" t="n"/>
      <c r="CN19" s="150" t="n"/>
      <c r="CO19" s="150" t="n"/>
      <c r="CP19" s="150" t="n"/>
      <c r="CQ19" s="150" t="n"/>
      <c r="CR19" s="150" t="n"/>
      <c r="CS19" s="150" t="n"/>
      <c r="CT19" s="150" t="n"/>
      <c r="CU19" s="150" t="n"/>
      <c r="CV19" s="150" t="n"/>
      <c r="CW19" s="150" t="n"/>
      <c r="CX19" s="150" t="n"/>
      <c r="CY19" s="150" t="n"/>
      <c r="CZ19" s="150" t="n"/>
      <c r="DA19" s="150" t="n"/>
    </row>
    <row r="20" outlineLevel="1" ht="14.4" customFormat="1" customHeight="1" s="244">
      <c r="A20" s="247">
        <f>MAX(J20:XFD20)</f>
        <v/>
      </c>
      <c r="B20" s="522" t="n"/>
      <c r="C20" s="282" t="inlineStr">
        <is>
          <t>Development Lead</t>
        </is>
      </c>
      <c r="D20" s="485" t="n"/>
      <c r="E20" s="485" t="n"/>
      <c r="F20" s="282" t="inlineStr">
        <is>
          <t>DL</t>
        </is>
      </c>
      <c r="G20" s="521">
        <f>SUM(J20:DA20)</f>
        <v/>
      </c>
      <c r="H20" s="521">
        <f>G20*5</f>
        <v/>
      </c>
      <c r="I20" s="521">
        <f>H20*6.7</f>
        <v/>
      </c>
      <c r="J20" s="150" t="n"/>
      <c r="K20" s="150" t="n"/>
      <c r="L20" s="150" t="n"/>
      <c r="M20" s="150" t="n"/>
      <c r="N20" s="150" t="n"/>
      <c r="O20" s="150" t="n"/>
      <c r="P20" s="150" t="n"/>
      <c r="Q20" s="150" t="n"/>
      <c r="R20" s="150" t="n"/>
      <c r="S20" s="150" t="n"/>
      <c r="T20" s="150" t="n"/>
      <c r="U20" s="150" t="n"/>
      <c r="V20" s="150" t="n"/>
      <c r="W20" s="150" t="n"/>
      <c r="X20" s="150" t="n"/>
      <c r="Y20" s="150" t="n"/>
      <c r="Z20" s="150" t="n"/>
      <c r="AA20" s="150" t="n"/>
      <c r="AB20" s="150" t="n"/>
      <c r="AC20" s="150" t="n"/>
      <c r="AD20" s="150" t="n"/>
      <c r="AE20" s="150" t="n"/>
      <c r="AF20" s="150" t="n"/>
      <c r="AG20" s="150" t="n"/>
      <c r="AH20" s="150" t="n"/>
      <c r="AI20" s="150" t="n"/>
      <c r="AJ20" s="150" t="n"/>
      <c r="AK20" s="150" t="n"/>
      <c r="AL20" s="150" t="n"/>
      <c r="AM20" s="150" t="n"/>
      <c r="AN20" s="150" t="n"/>
      <c r="AO20" s="150" t="n"/>
      <c r="AP20" s="150" t="n"/>
      <c r="AQ20" s="150" t="n"/>
      <c r="AR20" s="150" t="n"/>
      <c r="AS20" s="150" t="n"/>
      <c r="AT20" s="150" t="n"/>
      <c r="AU20" s="150" t="n"/>
      <c r="AV20" s="150" t="n"/>
      <c r="AW20" s="150" t="n"/>
      <c r="AX20" s="150" t="n"/>
      <c r="AY20" s="150" t="n"/>
      <c r="AZ20" s="150" t="n"/>
      <c r="BA20" s="150" t="n"/>
      <c r="BB20" s="150" t="n"/>
      <c r="BC20" s="150" t="n"/>
      <c r="BD20" s="150" t="n"/>
      <c r="BE20" s="152" t="n"/>
      <c r="BF20" s="150" t="n"/>
      <c r="BG20" s="150" t="n"/>
      <c r="BH20" s="150" t="n"/>
      <c r="BI20" s="150" t="n"/>
      <c r="BJ20" s="150" t="n"/>
      <c r="BK20" s="150" t="n"/>
      <c r="BL20" s="150" t="n"/>
      <c r="BM20" s="150" t="n"/>
      <c r="BN20" s="150" t="n"/>
      <c r="BO20" s="150" t="n"/>
      <c r="BP20" s="150" t="n"/>
      <c r="BQ20" s="150" t="n"/>
      <c r="BR20" s="150" t="n"/>
      <c r="BS20" s="150" t="n"/>
      <c r="BT20" s="150" t="n"/>
      <c r="BU20" s="150" t="n"/>
      <c r="BV20" s="150" t="n"/>
      <c r="BW20" s="150" t="n"/>
      <c r="BX20" s="150" t="n"/>
      <c r="BY20" s="150" t="n"/>
      <c r="BZ20" s="150" t="n"/>
      <c r="CA20" s="150" t="n"/>
      <c r="CB20" s="150" t="n"/>
      <c r="CC20" s="150" t="n"/>
      <c r="CD20" s="150" t="n"/>
      <c r="CE20" s="150" t="n"/>
      <c r="CF20" s="150" t="n"/>
      <c r="CG20" s="150" t="n"/>
      <c r="CH20" s="150" t="n"/>
      <c r="CI20" s="150" t="n"/>
      <c r="CJ20" s="150" t="n"/>
      <c r="CK20" s="150" t="n"/>
      <c r="CL20" s="150" t="n"/>
      <c r="CM20" s="150" t="n"/>
      <c r="CN20" s="150" t="n"/>
      <c r="CO20" s="150" t="n"/>
      <c r="CP20" s="150" t="n"/>
      <c r="CQ20" s="150" t="n"/>
      <c r="CR20" s="150" t="n"/>
      <c r="CS20" s="150" t="n"/>
      <c r="CT20" s="150" t="n"/>
      <c r="CU20" s="150" t="n"/>
      <c r="CV20" s="150" t="n"/>
      <c r="CW20" s="150" t="n"/>
      <c r="CX20" s="150" t="n"/>
      <c r="CY20" s="150" t="n"/>
      <c r="CZ20" s="150" t="n"/>
      <c r="DA20" s="150" t="n"/>
    </row>
    <row r="21" outlineLevel="1" ht="14.4" customFormat="1" customHeight="1" s="244">
      <c r="A21" s="247" t="n">
        <v>1</v>
      </c>
      <c r="B21" s="522" t="n"/>
      <c r="C21" s="282" t="inlineStr">
        <is>
          <t>Senior Software Engineer</t>
        </is>
      </c>
      <c r="D21" s="485" t="n"/>
      <c r="E21" s="485" t="n"/>
      <c r="F21" s="282" t="inlineStr">
        <is>
          <t>SSE</t>
        </is>
      </c>
      <c r="G21" s="521" t="n">
        <v>18</v>
      </c>
      <c r="H21" s="521" t="n">
        <v>90</v>
      </c>
      <c r="I21" s="521" t="n">
        <v>720</v>
      </c>
      <c r="J21" s="150" t="n">
        <v>0</v>
      </c>
      <c r="K21" s="150" t="n">
        <v>0</v>
      </c>
      <c r="L21" s="150" t="n">
        <v>0</v>
      </c>
      <c r="M21" s="150" t="n">
        <v>0</v>
      </c>
      <c r="N21" s="150" t="n">
        <v>0</v>
      </c>
      <c r="O21" s="150" t="n">
        <v>0</v>
      </c>
      <c r="P21" s="150" t="n">
        <v>0</v>
      </c>
      <c r="Q21" s="150" t="n">
        <v>0</v>
      </c>
      <c r="R21" s="150" t="n">
        <v>0</v>
      </c>
      <c r="S21" s="150" t="n">
        <v>0</v>
      </c>
      <c r="T21" s="150" t="n">
        <v>0</v>
      </c>
      <c r="U21" s="150" t="n">
        <v>0</v>
      </c>
      <c r="V21" s="150" t="n">
        <v>0</v>
      </c>
      <c r="W21" s="150" t="n">
        <v>0</v>
      </c>
      <c r="X21" s="150" t="n">
        <v>0</v>
      </c>
      <c r="Y21" s="150" t="n">
        <v>0</v>
      </c>
      <c r="Z21" s="150" t="n">
        <v>0</v>
      </c>
      <c r="AA21" s="150" t="n">
        <v>0</v>
      </c>
      <c r="AB21" s="150" t="n">
        <v>0</v>
      </c>
      <c r="AC21" s="150" t="n">
        <v>0</v>
      </c>
      <c r="AD21" s="150" t="n">
        <v>0</v>
      </c>
      <c r="AE21" s="150" t="n">
        <v>0</v>
      </c>
      <c r="AF21" s="150" t="n">
        <v>0</v>
      </c>
      <c r="AG21" s="150" t="n">
        <v>0</v>
      </c>
      <c r="AH21" s="150" t="n">
        <v>0</v>
      </c>
      <c r="AI21" s="150" t="n">
        <v>0</v>
      </c>
      <c r="AJ21" s="150" t="n">
        <v>0</v>
      </c>
      <c r="AK21" s="150" t="n">
        <v>0</v>
      </c>
      <c r="AL21" s="150" t="n">
        <v>0</v>
      </c>
      <c r="AM21" s="150" t="n">
        <v>0</v>
      </c>
      <c r="AN21" s="150" t="n">
        <v>0</v>
      </c>
      <c r="AO21" s="150" t="n">
        <v>0</v>
      </c>
      <c r="AP21" s="150" t="n">
        <v>0</v>
      </c>
      <c r="AQ21" s="150" t="n">
        <v>0</v>
      </c>
      <c r="AR21" s="150" t="n">
        <v>0</v>
      </c>
      <c r="AS21" s="150" t="n">
        <v>0</v>
      </c>
      <c r="AT21" s="150" t="n">
        <v>0</v>
      </c>
      <c r="AU21" s="150" t="n">
        <v>0</v>
      </c>
      <c r="AV21" s="150" t="n">
        <v>0</v>
      </c>
      <c r="AW21" s="150" t="n">
        <v>0</v>
      </c>
      <c r="AX21" s="150" t="n">
        <v>0</v>
      </c>
      <c r="AY21" s="150" t="n">
        <v>0</v>
      </c>
      <c r="AZ21" s="150" t="n">
        <v>0</v>
      </c>
      <c r="BA21" s="150" t="n">
        <v>0</v>
      </c>
      <c r="BB21" s="150" t="n">
        <v>0</v>
      </c>
      <c r="BC21" s="150" t="n">
        <v>0</v>
      </c>
      <c r="BD21" s="150" t="n">
        <v>0</v>
      </c>
      <c r="BE21" s="152" t="n">
        <v>0</v>
      </c>
      <c r="BF21" s="150" t="n"/>
      <c r="BG21" s="150" t="n"/>
      <c r="BH21" s="150" t="n"/>
      <c r="BI21" s="150" t="n"/>
      <c r="BJ21" s="150" t="n"/>
      <c r="BK21" s="150" t="n"/>
      <c r="BL21" s="150" t="n"/>
      <c r="BM21" s="150" t="n"/>
      <c r="BN21" s="150" t="n"/>
      <c r="BO21" s="150" t="n"/>
      <c r="BP21" s="150" t="n"/>
      <c r="BQ21" s="150" t="n"/>
      <c r="BR21" s="150" t="n"/>
      <c r="BS21" s="150" t="n"/>
      <c r="BT21" s="150" t="n"/>
      <c r="BU21" s="150" t="n"/>
      <c r="BV21" s="150" t="n"/>
      <c r="BW21" s="150" t="n"/>
      <c r="BX21" s="150" t="n"/>
      <c r="BY21" s="150" t="n"/>
      <c r="BZ21" s="150" t="n"/>
      <c r="CA21" s="150" t="n"/>
      <c r="CB21" s="150" t="n"/>
      <c r="CC21" s="150" t="n"/>
      <c r="CD21" s="150" t="n"/>
      <c r="CE21" s="150" t="n"/>
      <c r="CF21" s="150" t="n"/>
      <c r="CG21" s="150" t="n"/>
      <c r="CH21" s="150" t="n"/>
      <c r="CI21" s="150" t="n"/>
      <c r="CJ21" s="150" t="n"/>
      <c r="CK21" s="150" t="n"/>
      <c r="CL21" s="150" t="n"/>
      <c r="CM21" s="150" t="n"/>
      <c r="CN21" s="150" t="n"/>
      <c r="CO21" s="150" t="n"/>
      <c r="CP21" s="150" t="n"/>
      <c r="CQ21" s="150" t="n"/>
      <c r="CR21" s="150" t="n"/>
      <c r="CS21" s="150" t="n"/>
      <c r="CT21" s="150" t="n"/>
      <c r="CU21" s="150" t="n"/>
      <c r="CV21" s="150" t="n"/>
      <c r="CW21" s="150" t="n"/>
      <c r="CX21" s="150" t="n"/>
      <c r="CY21" s="150" t="n"/>
      <c r="CZ21" s="150" t="n"/>
      <c r="DA21" s="150" t="n"/>
    </row>
    <row r="22" outlineLevel="1" ht="14.4" customFormat="1" customHeight="1" s="244">
      <c r="A22" s="247" t="n">
        <v>1</v>
      </c>
      <c r="B22" s="522" t="n"/>
      <c r="C22" s="282" t="inlineStr">
        <is>
          <t>Software Engineer</t>
        </is>
      </c>
      <c r="D22" s="485" t="n"/>
      <c r="E22" s="485" t="n"/>
      <c r="F22" s="282" t="inlineStr">
        <is>
          <t>SE</t>
        </is>
      </c>
      <c r="G22" s="521" t="n">
        <v>18</v>
      </c>
      <c r="H22" s="521" t="n">
        <v>90</v>
      </c>
      <c r="I22" s="521" t="n">
        <v>720</v>
      </c>
      <c r="J22" s="150" t="n">
        <v>0</v>
      </c>
      <c r="K22" s="150" t="n">
        <v>0</v>
      </c>
      <c r="L22" s="150" t="n">
        <v>0</v>
      </c>
      <c r="M22" s="150" t="n">
        <v>0</v>
      </c>
      <c r="N22" s="150" t="n">
        <v>0</v>
      </c>
      <c r="O22" s="150" t="n">
        <v>0</v>
      </c>
      <c r="P22" s="150" t="n">
        <v>0</v>
      </c>
      <c r="Q22" s="150" t="n">
        <v>0</v>
      </c>
      <c r="R22" s="150" t="n">
        <v>0</v>
      </c>
      <c r="S22" s="150" t="n">
        <v>0</v>
      </c>
      <c r="T22" s="150" t="n">
        <v>0</v>
      </c>
      <c r="U22" s="150" t="n">
        <v>0</v>
      </c>
      <c r="V22" s="150" t="n">
        <v>0</v>
      </c>
      <c r="W22" s="150" t="n">
        <v>0</v>
      </c>
      <c r="X22" s="150" t="n">
        <v>0</v>
      </c>
      <c r="Y22" s="150" t="n">
        <v>0</v>
      </c>
      <c r="Z22" s="150" t="n">
        <v>0</v>
      </c>
      <c r="AA22" s="150" t="n">
        <v>0</v>
      </c>
      <c r="AB22" s="150" t="n">
        <v>0</v>
      </c>
      <c r="AC22" s="150" t="n">
        <v>0</v>
      </c>
      <c r="AD22" s="150" t="n">
        <v>0</v>
      </c>
      <c r="AE22" s="150" t="n">
        <v>0</v>
      </c>
      <c r="AF22" s="150" t="n">
        <v>0</v>
      </c>
      <c r="AG22" s="150" t="n">
        <v>0</v>
      </c>
      <c r="AH22" s="150" t="n">
        <v>0</v>
      </c>
      <c r="AI22" s="150" t="n">
        <v>0</v>
      </c>
      <c r="AJ22" s="150" t="n">
        <v>0</v>
      </c>
      <c r="AK22" s="150" t="n">
        <v>0</v>
      </c>
      <c r="AL22" s="150" t="n">
        <v>0</v>
      </c>
      <c r="AM22" s="150" t="n">
        <v>0</v>
      </c>
      <c r="AN22" s="150" t="n">
        <v>0</v>
      </c>
      <c r="AO22" s="150" t="n">
        <v>0</v>
      </c>
      <c r="AP22" s="150" t="n">
        <v>0</v>
      </c>
      <c r="AQ22" s="150" t="n">
        <v>0</v>
      </c>
      <c r="AR22" s="150" t="n">
        <v>0</v>
      </c>
      <c r="AS22" s="150" t="n">
        <v>0</v>
      </c>
      <c r="AT22" s="150" t="n">
        <v>0</v>
      </c>
      <c r="AU22" s="150" t="n">
        <v>0</v>
      </c>
      <c r="AV22" s="150" t="n">
        <v>0</v>
      </c>
      <c r="AW22" s="150" t="n">
        <v>0</v>
      </c>
      <c r="AX22" s="150" t="n">
        <v>0</v>
      </c>
      <c r="AY22" s="150" t="n">
        <v>0</v>
      </c>
      <c r="AZ22" s="150" t="n">
        <v>0</v>
      </c>
      <c r="BA22" s="150" t="n">
        <v>0</v>
      </c>
      <c r="BB22" s="150" t="n">
        <v>0</v>
      </c>
      <c r="BC22" s="150" t="n">
        <v>0</v>
      </c>
      <c r="BD22" s="150" t="n">
        <v>0</v>
      </c>
      <c r="BE22" s="152" t="n">
        <v>0</v>
      </c>
      <c r="BF22" s="150" t="n"/>
      <c r="BG22" s="150" t="n"/>
      <c r="BH22" s="150" t="n"/>
      <c r="BI22" s="150" t="n"/>
      <c r="BJ22" s="150" t="n"/>
      <c r="BK22" s="150" t="n"/>
      <c r="BL22" s="150" t="n"/>
      <c r="BM22" s="150" t="n"/>
      <c r="BN22" s="150" t="n"/>
      <c r="BO22" s="150" t="n"/>
      <c r="BP22" s="150" t="n"/>
      <c r="BQ22" s="150" t="n"/>
      <c r="BR22" s="150" t="n"/>
      <c r="BS22" s="150" t="n"/>
      <c r="BT22" s="150" t="n"/>
      <c r="BU22" s="150" t="n"/>
      <c r="BV22" s="150" t="n"/>
      <c r="BW22" s="150" t="n"/>
      <c r="BX22" s="150" t="n"/>
      <c r="BY22" s="150" t="n"/>
      <c r="BZ22" s="150" t="n"/>
      <c r="CA22" s="150" t="n"/>
      <c r="CB22" s="150" t="n"/>
      <c r="CC22" s="150" t="n"/>
      <c r="CD22" s="150" t="n"/>
      <c r="CE22" s="150" t="n"/>
      <c r="CF22" s="150" t="n"/>
      <c r="CG22" s="150" t="n"/>
      <c r="CH22" s="150" t="n"/>
      <c r="CI22" s="150" t="n"/>
      <c r="CJ22" s="150" t="n"/>
      <c r="CK22" s="150" t="n"/>
      <c r="CL22" s="150" t="n"/>
      <c r="CM22" s="150" t="n"/>
      <c r="CN22" s="150" t="n"/>
      <c r="CO22" s="150" t="n"/>
      <c r="CP22" s="150" t="n"/>
      <c r="CQ22" s="150" t="n"/>
      <c r="CR22" s="150" t="n"/>
      <c r="CS22" s="150" t="n"/>
      <c r="CT22" s="150" t="n"/>
      <c r="CU22" s="150" t="n"/>
      <c r="CV22" s="150" t="n"/>
      <c r="CW22" s="150" t="n"/>
      <c r="CX22" s="150" t="n"/>
      <c r="CY22" s="150" t="n"/>
      <c r="CZ22" s="150" t="n"/>
      <c r="DA22" s="150" t="n"/>
    </row>
    <row r="23" outlineLevel="1" ht="14.4" customFormat="1" customHeight="1" s="244">
      <c r="A23" s="247">
        <f>MAX(J23:XFD23)</f>
        <v/>
      </c>
      <c r="B23" s="522" t="n"/>
      <c r="C23" s="282" t="inlineStr">
        <is>
          <t>Associate Software Engineer</t>
        </is>
      </c>
      <c r="D23" s="485" t="n"/>
      <c r="E23" s="485" t="n"/>
      <c r="F23" s="282" t="inlineStr">
        <is>
          <t>ASE</t>
        </is>
      </c>
      <c r="G23" s="521">
        <f>SUM(J23:DA23)</f>
        <v/>
      </c>
      <c r="H23" s="521">
        <f>G23*5</f>
        <v/>
      </c>
      <c r="I23" s="521">
        <f>H23*6.7</f>
        <v/>
      </c>
      <c r="J23" s="150" t="n"/>
      <c r="K23" s="150" t="n"/>
      <c r="L23" s="150" t="n"/>
      <c r="M23" s="150" t="n"/>
      <c r="N23" s="150" t="n"/>
      <c r="O23" s="150" t="n"/>
      <c r="P23" s="150" t="n"/>
      <c r="Q23" s="150" t="n"/>
      <c r="R23" s="150" t="n"/>
      <c r="S23" s="150" t="n"/>
      <c r="T23" s="150" t="n"/>
      <c r="U23" s="150" t="n"/>
      <c r="V23" s="150" t="n"/>
      <c r="W23" s="150" t="n"/>
      <c r="X23" s="150" t="n"/>
      <c r="Y23" s="150" t="n"/>
      <c r="Z23" s="150" t="n"/>
      <c r="AA23" s="150" t="n"/>
      <c r="AB23" s="150" t="n"/>
      <c r="AC23" s="150" t="n"/>
      <c r="AD23" s="150" t="n"/>
      <c r="AE23" s="150" t="n"/>
      <c r="AF23" s="150" t="n"/>
      <c r="AG23" s="150" t="n"/>
      <c r="AH23" s="150" t="n"/>
      <c r="AI23" s="150" t="n"/>
      <c r="AJ23" s="150" t="n"/>
      <c r="AK23" s="150" t="n"/>
      <c r="AL23" s="150" t="n"/>
      <c r="AM23" s="150" t="n"/>
      <c r="AN23" s="150" t="n"/>
      <c r="AO23" s="150" t="n"/>
      <c r="AP23" s="150" t="n"/>
      <c r="AQ23" s="150" t="n"/>
      <c r="AR23" s="150" t="n"/>
      <c r="AS23" s="150" t="n"/>
      <c r="AT23" s="150" t="n"/>
      <c r="AU23" s="150" t="n"/>
      <c r="AV23" s="150" t="n"/>
      <c r="AW23" s="150" t="n"/>
      <c r="AX23" s="150" t="n"/>
      <c r="AY23" s="150" t="n"/>
      <c r="AZ23" s="150" t="n"/>
      <c r="BA23" s="150" t="n"/>
      <c r="BB23" s="150" t="n"/>
      <c r="BC23" s="150" t="n"/>
      <c r="BD23" s="150" t="n"/>
      <c r="BE23" s="152" t="n"/>
      <c r="BF23" s="150" t="n"/>
      <c r="BG23" s="150" t="n"/>
      <c r="BH23" s="150" t="n"/>
      <c r="BI23" s="150" t="n"/>
      <c r="BJ23" s="150" t="n"/>
      <c r="BK23" s="150" t="n"/>
      <c r="BL23" s="150" t="n"/>
      <c r="BM23" s="150" t="n"/>
      <c r="BN23" s="150" t="n"/>
      <c r="BO23" s="150" t="n"/>
      <c r="BP23" s="150" t="n"/>
      <c r="BQ23" s="150" t="n"/>
      <c r="BR23" s="150" t="n"/>
      <c r="BS23" s="150" t="n"/>
      <c r="BT23" s="150" t="n"/>
      <c r="BU23" s="150" t="n"/>
      <c r="BV23" s="150" t="n"/>
      <c r="BW23" s="150" t="n"/>
      <c r="BX23" s="150" t="n"/>
      <c r="BY23" s="150" t="n"/>
      <c r="BZ23" s="150" t="n"/>
      <c r="CA23" s="150" t="n"/>
      <c r="CB23" s="150" t="n"/>
      <c r="CC23" s="150" t="n"/>
      <c r="CD23" s="150" t="n"/>
      <c r="CE23" s="150" t="n"/>
      <c r="CF23" s="150" t="n"/>
      <c r="CG23" s="150" t="n"/>
      <c r="CH23" s="150" t="n"/>
      <c r="CI23" s="150" t="n"/>
      <c r="CJ23" s="150" t="n"/>
      <c r="CK23" s="150" t="n"/>
      <c r="CL23" s="150" t="n"/>
      <c r="CM23" s="150" t="n"/>
      <c r="CN23" s="150" t="n"/>
      <c r="CO23" s="150" t="n"/>
      <c r="CP23" s="150" t="n"/>
      <c r="CQ23" s="150" t="n"/>
      <c r="CR23" s="150" t="n"/>
      <c r="CS23" s="150" t="n"/>
      <c r="CT23" s="150" t="n"/>
      <c r="CU23" s="150" t="n"/>
      <c r="CV23" s="150" t="n"/>
      <c r="CW23" s="150" t="n"/>
      <c r="CX23" s="150" t="n"/>
      <c r="CY23" s="150" t="n"/>
      <c r="CZ23" s="150" t="n"/>
      <c r="DA23" s="150" t="n"/>
    </row>
    <row r="24" outlineLevel="1" ht="14.4" customFormat="1" customHeight="1" s="244">
      <c r="A24" s="247">
        <f>MAX(J24:XFD24)</f>
        <v/>
      </c>
      <c r="B24" s="522" t="n"/>
      <c r="C24" s="282" t="inlineStr">
        <is>
          <t>QA Team Lead</t>
        </is>
      </c>
      <c r="D24" s="485" t="n"/>
      <c r="E24" s="485" t="n"/>
      <c r="F24" s="282" t="inlineStr">
        <is>
          <t>QL</t>
        </is>
      </c>
      <c r="G24" s="521">
        <f>SUM(J24:DA24)</f>
        <v/>
      </c>
      <c r="H24" s="521">
        <f>G24*5</f>
        <v/>
      </c>
      <c r="I24" s="521">
        <f>H24*6.7</f>
        <v/>
      </c>
      <c r="J24" s="528" t="n"/>
      <c r="K24" s="528" t="n"/>
      <c r="L24" s="528" t="n"/>
      <c r="M24" s="528" t="n"/>
      <c r="N24" s="528" t="n"/>
      <c r="O24" s="528" t="n"/>
      <c r="P24" s="528" t="n"/>
      <c r="Q24" s="528" t="n"/>
      <c r="R24" s="528" t="n"/>
      <c r="S24" s="528" t="n"/>
      <c r="T24" s="528" t="n"/>
      <c r="U24" s="528" t="n"/>
      <c r="V24" s="528" t="n"/>
      <c r="W24" s="528" t="n"/>
      <c r="X24" s="528" t="n"/>
      <c r="Y24" s="528" t="n"/>
      <c r="Z24" s="528" t="n"/>
      <c r="AA24" s="528" t="n"/>
      <c r="AB24" s="528" t="n"/>
      <c r="AC24" s="528" t="n"/>
      <c r="AD24" s="528" t="n"/>
      <c r="AE24" s="528" t="n"/>
      <c r="AF24" s="528" t="n"/>
      <c r="AG24" s="528" t="n"/>
      <c r="AH24" s="528" t="n"/>
      <c r="AI24" s="528" t="n"/>
      <c r="AJ24" s="528" t="n"/>
      <c r="AK24" s="528" t="n"/>
      <c r="AL24" s="528" t="n"/>
      <c r="AM24" s="528" t="n"/>
      <c r="AN24" s="528" t="n"/>
      <c r="AO24" s="528" t="n"/>
      <c r="AP24" s="528" t="n"/>
      <c r="AQ24" s="528" t="n"/>
      <c r="AR24" s="528" t="n"/>
      <c r="AS24" s="528" t="n"/>
      <c r="AT24" s="528" t="n"/>
      <c r="AU24" s="528" t="n"/>
      <c r="AV24" s="528" t="n"/>
      <c r="AW24" s="528" t="n"/>
      <c r="AX24" s="528" t="n"/>
      <c r="AY24" s="528" t="n"/>
      <c r="AZ24" s="528" t="n"/>
      <c r="BA24" s="528" t="n"/>
      <c r="BB24" s="528" t="n"/>
      <c r="BC24" s="528" t="n"/>
      <c r="BD24" s="528" t="n"/>
      <c r="BE24" s="529" t="n"/>
      <c r="BF24" s="150" t="n"/>
      <c r="BG24" s="150" t="n"/>
      <c r="BH24" s="150" t="n"/>
      <c r="BI24" s="150" t="n"/>
      <c r="BJ24" s="150" t="n"/>
      <c r="BK24" s="150" t="n"/>
      <c r="BL24" s="150" t="n"/>
      <c r="BM24" s="150" t="n"/>
      <c r="BN24" s="150" t="n"/>
      <c r="BO24" s="150" t="n"/>
      <c r="BP24" s="150" t="n"/>
      <c r="BQ24" s="150" t="n"/>
      <c r="BR24" s="150" t="n"/>
      <c r="BS24" s="150" t="n"/>
      <c r="BT24" s="150" t="n"/>
      <c r="BU24" s="150" t="n"/>
      <c r="BV24" s="150" t="n"/>
      <c r="BW24" s="150" t="n"/>
      <c r="BX24" s="150" t="n"/>
      <c r="BY24" s="150" t="n"/>
      <c r="BZ24" s="150" t="n"/>
      <c r="CA24" s="150" t="n"/>
      <c r="CB24" s="150" t="n"/>
      <c r="CC24" s="150" t="n"/>
      <c r="CD24" s="150" t="n"/>
      <c r="CE24" s="150" t="n"/>
      <c r="CF24" s="150" t="n"/>
      <c r="CG24" s="150" t="n"/>
      <c r="CH24" s="150" t="n"/>
      <c r="CI24" s="150" t="n"/>
      <c r="CJ24" s="150" t="n"/>
      <c r="CK24" s="150" t="n"/>
      <c r="CL24" s="150" t="n"/>
      <c r="CM24" s="150" t="n"/>
      <c r="CN24" s="150" t="n"/>
      <c r="CO24" s="150" t="n"/>
      <c r="CP24" s="150" t="n"/>
      <c r="CQ24" s="150" t="n"/>
      <c r="CR24" s="150" t="n"/>
      <c r="CS24" s="150" t="n"/>
      <c r="CT24" s="150" t="n"/>
      <c r="CU24" s="150" t="n"/>
      <c r="CV24" s="150" t="n"/>
      <c r="CW24" s="150" t="n"/>
      <c r="CX24" s="150" t="n"/>
      <c r="CY24" s="150" t="n"/>
      <c r="CZ24" s="150" t="n"/>
      <c r="DA24" s="150" t="n"/>
    </row>
    <row r="25" outlineLevel="1" ht="15" customFormat="1" customHeight="1" s="248" thickBot="1">
      <c r="A25" s="247" t="n">
        <v>1</v>
      </c>
      <c r="B25" s="523" t="n"/>
      <c r="C25" s="335" t="inlineStr">
        <is>
          <t>Software Testing Engineer</t>
        </is>
      </c>
      <c r="D25" s="486" t="n"/>
      <c r="E25" s="486" t="n"/>
      <c r="F25" s="335" t="inlineStr">
        <is>
          <t>STE</t>
        </is>
      </c>
      <c r="G25" s="530" t="n">
        <v>8</v>
      </c>
      <c r="H25" s="530" t="n">
        <v>40</v>
      </c>
      <c r="I25" s="530" t="n">
        <v>320</v>
      </c>
      <c r="J25" s="199" t="n">
        <v>0</v>
      </c>
      <c r="K25" s="199" t="n">
        <v>0</v>
      </c>
      <c r="L25" s="199" t="n">
        <v>0</v>
      </c>
      <c r="M25" s="199" t="n">
        <v>0</v>
      </c>
      <c r="N25" s="199" t="n">
        <v>0</v>
      </c>
      <c r="O25" s="199" t="n">
        <v>0</v>
      </c>
      <c r="P25" s="199" t="n">
        <v>0</v>
      </c>
      <c r="Q25" s="199" t="n">
        <v>0</v>
      </c>
      <c r="R25" s="199" t="n">
        <v>0</v>
      </c>
      <c r="S25" s="199" t="n">
        <v>0</v>
      </c>
      <c r="T25" s="199" t="n">
        <v>0</v>
      </c>
      <c r="U25" s="199" t="n">
        <v>0</v>
      </c>
      <c r="V25" s="199" t="n">
        <v>0</v>
      </c>
      <c r="W25" s="199" t="n">
        <v>0</v>
      </c>
      <c r="X25" s="199" t="n">
        <v>0</v>
      </c>
      <c r="Y25" s="199" t="n">
        <v>0</v>
      </c>
      <c r="Z25" s="199" t="n">
        <v>0</v>
      </c>
      <c r="AA25" s="199" t="n">
        <v>0</v>
      </c>
      <c r="AB25" s="199" t="n">
        <v>0</v>
      </c>
      <c r="AC25" s="199" t="n">
        <v>0</v>
      </c>
      <c r="AD25" s="199" t="n">
        <v>0</v>
      </c>
      <c r="AE25" s="199" t="n">
        <v>0</v>
      </c>
      <c r="AF25" s="199" t="n">
        <v>0</v>
      </c>
      <c r="AG25" s="199" t="n">
        <v>0</v>
      </c>
      <c r="AH25" s="199" t="n">
        <v>0</v>
      </c>
      <c r="AI25" s="199" t="n">
        <v>0</v>
      </c>
      <c r="AJ25" s="199" t="n">
        <v>0</v>
      </c>
      <c r="AK25" s="199" t="n">
        <v>0</v>
      </c>
      <c r="AL25" s="199" t="n">
        <v>0</v>
      </c>
      <c r="AM25" s="199" t="n">
        <v>0</v>
      </c>
      <c r="AN25" s="199" t="n">
        <v>0</v>
      </c>
      <c r="AO25" s="199" t="n">
        <v>0</v>
      </c>
      <c r="AP25" s="199" t="n">
        <v>0</v>
      </c>
      <c r="AQ25" s="199" t="n">
        <v>0</v>
      </c>
      <c r="AR25" s="199" t="n">
        <v>0</v>
      </c>
      <c r="AS25" s="199" t="n">
        <v>0</v>
      </c>
      <c r="AT25" s="199" t="n">
        <v>0</v>
      </c>
      <c r="AU25" s="199" t="n">
        <v>0</v>
      </c>
      <c r="AV25" s="199" t="n">
        <v>0</v>
      </c>
      <c r="AW25" s="199" t="n">
        <v>0</v>
      </c>
      <c r="AX25" s="199" t="n">
        <v>0</v>
      </c>
      <c r="AY25" s="199" t="n">
        <v>0</v>
      </c>
      <c r="AZ25" s="199" t="n">
        <v>0</v>
      </c>
      <c r="BA25" s="199" t="n">
        <v>0</v>
      </c>
      <c r="BB25" s="199" t="n">
        <v>0</v>
      </c>
      <c r="BC25" s="199" t="n">
        <v>0</v>
      </c>
      <c r="BD25" s="199" t="n">
        <v>0</v>
      </c>
      <c r="BE25" s="200" t="n">
        <v>0</v>
      </c>
      <c r="BF25" s="199" t="n"/>
      <c r="BG25" s="199" t="n"/>
      <c r="BH25" s="199" t="n"/>
      <c r="BI25" s="199" t="n"/>
      <c r="BJ25" s="199" t="n"/>
      <c r="BK25" s="199" t="n"/>
      <c r="BL25" s="199" t="n"/>
      <c r="BM25" s="199" t="n"/>
      <c r="BN25" s="199" t="n"/>
      <c r="BO25" s="199" t="n"/>
      <c r="BP25" s="199" t="n"/>
      <c r="BQ25" s="199" t="n"/>
      <c r="BR25" s="199" t="n"/>
      <c r="BS25" s="199" t="n"/>
      <c r="BT25" s="199" t="n"/>
      <c r="BU25" s="199" t="n"/>
      <c r="BV25" s="199" t="n"/>
      <c r="BW25" s="199" t="n"/>
      <c r="BX25" s="199" t="n"/>
      <c r="BY25" s="199" t="n"/>
      <c r="BZ25" s="199" t="n"/>
      <c r="CA25" s="199" t="n"/>
      <c r="CB25" s="199" t="n"/>
      <c r="CC25" s="199" t="n"/>
      <c r="CD25" s="199" t="n"/>
      <c r="CE25" s="199" t="n"/>
      <c r="CF25" s="199" t="n"/>
      <c r="CG25" s="199" t="n"/>
      <c r="CH25" s="199" t="n"/>
      <c r="CI25" s="199" t="n"/>
      <c r="CJ25" s="199" t="n"/>
      <c r="CK25" s="199" t="n"/>
      <c r="CL25" s="199" t="n"/>
      <c r="CM25" s="199" t="n"/>
      <c r="CN25" s="199" t="n"/>
      <c r="CO25" s="199" t="n"/>
      <c r="CP25" s="199" t="n"/>
      <c r="CQ25" s="199" t="n"/>
      <c r="CR25" s="199" t="n"/>
      <c r="CS25" s="199" t="n"/>
      <c r="CT25" s="199" t="n"/>
      <c r="CU25" s="199" t="n"/>
      <c r="CV25" s="199" t="n"/>
      <c r="CW25" s="199" t="n"/>
      <c r="CX25" s="199" t="n"/>
      <c r="CY25" s="199" t="n"/>
      <c r="CZ25" s="199" t="n"/>
      <c r="DA25" s="199" t="n"/>
    </row>
    <row r="26" outlineLevel="1" ht="14.4" customFormat="1" customHeight="1" s="244">
      <c r="A26" s="247">
        <f>MAX(J26:XFD26)</f>
        <v/>
      </c>
      <c r="B26" s="520" t="inlineStr">
        <is>
          <t>SD</t>
        </is>
      </c>
      <c r="C26" s="281" t="inlineStr">
        <is>
          <t>Delivery Manager</t>
        </is>
      </c>
      <c r="D26" s="499" t="n"/>
      <c r="E26" s="499" t="n"/>
      <c r="F26" s="236" t="inlineStr">
        <is>
          <t>PM</t>
        </is>
      </c>
      <c r="G26" s="525">
        <f>SUM(J26:DA26)</f>
        <v/>
      </c>
      <c r="H26" s="525">
        <f>G26*5</f>
        <v/>
      </c>
      <c r="I26" s="525">
        <f>H26*6.7</f>
        <v/>
      </c>
      <c r="J26" s="528" t="n"/>
      <c r="K26" s="528" t="n"/>
      <c r="L26" s="528" t="n"/>
      <c r="M26" s="528" t="n"/>
      <c r="N26" s="528" t="n"/>
      <c r="O26" s="528" t="n"/>
      <c r="P26" s="528" t="n"/>
      <c r="Q26" s="528" t="n"/>
      <c r="R26" s="528" t="n"/>
      <c r="S26" s="528" t="n"/>
      <c r="T26" s="528" t="n"/>
      <c r="U26" s="528" t="n"/>
      <c r="V26" s="528" t="n"/>
      <c r="W26" s="528" t="n"/>
      <c r="X26" s="528" t="n"/>
      <c r="Y26" s="528" t="n"/>
      <c r="Z26" s="528" t="n"/>
      <c r="AA26" s="528" t="n"/>
      <c r="AB26" s="528" t="n"/>
      <c r="AC26" s="528" t="n"/>
      <c r="AD26" s="528" t="n"/>
      <c r="AE26" s="528" t="n"/>
      <c r="AF26" s="528" t="n"/>
      <c r="AG26" s="528" t="n"/>
      <c r="AH26" s="528" t="n"/>
      <c r="AI26" s="528" t="n"/>
      <c r="AJ26" s="528" t="n"/>
      <c r="AK26" s="528" t="n"/>
      <c r="AL26" s="528" t="n"/>
      <c r="AM26" s="528" t="n"/>
      <c r="AN26" s="528" t="n"/>
      <c r="AO26" s="528" t="n"/>
      <c r="AP26" s="528" t="n"/>
      <c r="AQ26" s="528" t="n"/>
      <c r="AR26" s="528" t="n"/>
      <c r="AS26" s="528" t="n"/>
      <c r="AT26" s="528" t="n"/>
      <c r="AU26" s="528" t="n"/>
      <c r="AV26" s="528" t="n"/>
      <c r="AW26" s="528" t="n"/>
      <c r="AX26" s="528" t="n"/>
      <c r="AY26" s="528" t="n"/>
      <c r="AZ26" s="528" t="n"/>
      <c r="BA26" s="528" t="n"/>
      <c r="BB26" s="528" t="n"/>
      <c r="BC26" s="528" t="n"/>
      <c r="BD26" s="528" t="n"/>
      <c r="BE26" s="529" t="n"/>
      <c r="BF26" s="150" t="n"/>
      <c r="BG26" s="150" t="n"/>
      <c r="BH26" s="150" t="n"/>
      <c r="BI26" s="150" t="n"/>
      <c r="BJ26" s="150" t="n"/>
      <c r="BK26" s="150" t="n"/>
      <c r="BL26" s="150" t="n"/>
      <c r="BM26" s="150" t="n"/>
      <c r="BN26" s="150" t="n"/>
      <c r="BO26" s="150" t="n"/>
      <c r="BP26" s="150" t="n"/>
      <c r="BQ26" s="150" t="n"/>
      <c r="BR26" s="150" t="n"/>
      <c r="BS26" s="150" t="n"/>
      <c r="BT26" s="150" t="n"/>
      <c r="BU26" s="150" t="n"/>
      <c r="BV26" s="150" t="n"/>
      <c r="BW26" s="150" t="n"/>
      <c r="BX26" s="150" t="n"/>
      <c r="BY26" s="150" t="n"/>
      <c r="BZ26" s="150" t="n"/>
      <c r="CA26" s="150" t="n"/>
      <c r="CB26" s="150" t="n"/>
      <c r="CC26" s="150" t="n"/>
      <c r="CD26" s="150" t="n"/>
      <c r="CE26" s="150" t="n"/>
      <c r="CF26" s="150" t="n"/>
      <c r="CG26" s="150" t="n"/>
      <c r="CH26" s="150" t="n"/>
      <c r="CI26" s="150" t="n"/>
      <c r="CJ26" s="150" t="n"/>
      <c r="CK26" s="150" t="n"/>
      <c r="CL26" s="150" t="n"/>
      <c r="CM26" s="150" t="n"/>
      <c r="CN26" s="150" t="n"/>
      <c r="CO26" s="150" t="n"/>
      <c r="CP26" s="150" t="n"/>
      <c r="CQ26" s="150" t="n"/>
      <c r="CR26" s="150" t="n"/>
      <c r="CS26" s="150" t="n"/>
      <c r="CT26" s="150" t="n"/>
      <c r="CU26" s="150" t="n"/>
      <c r="CV26" s="150" t="n"/>
      <c r="CW26" s="150" t="n"/>
      <c r="CX26" s="150" t="n"/>
      <c r="CY26" s="150" t="n"/>
      <c r="CZ26" s="150" t="n"/>
      <c r="DA26" s="150" t="n"/>
    </row>
    <row r="27" outlineLevel="1" ht="14.4" customFormat="1" customHeight="1" s="244">
      <c r="A27" s="247">
        <f>MAX(J27:XFD27)</f>
        <v/>
      </c>
      <c r="B27" s="522" t="n"/>
      <c r="C27" s="282" t="inlineStr">
        <is>
          <t>Support Analyst</t>
        </is>
      </c>
      <c r="D27" s="485" t="n"/>
      <c r="E27" s="485" t="n"/>
      <c r="F27" s="238" t="inlineStr">
        <is>
          <t>SA</t>
        </is>
      </c>
      <c r="G27" s="526">
        <f>SUM(J27:DA27)</f>
        <v/>
      </c>
      <c r="H27" s="526">
        <f>G27*5</f>
        <v/>
      </c>
      <c r="I27" s="526">
        <f>H27*6.7</f>
        <v/>
      </c>
      <c r="J27" s="150" t="n">
        <v>0</v>
      </c>
      <c r="K27" s="150" t="n">
        <v>0</v>
      </c>
      <c r="L27" s="150" t="n">
        <v>0</v>
      </c>
      <c r="M27" s="150" t="n">
        <v>0</v>
      </c>
      <c r="N27" s="150" t="n">
        <v>0</v>
      </c>
      <c r="O27" s="150" t="n">
        <v>0</v>
      </c>
      <c r="P27" s="150" t="n">
        <v>0</v>
      </c>
      <c r="Q27" s="150" t="n">
        <v>0</v>
      </c>
      <c r="R27" s="150" t="n">
        <v>0</v>
      </c>
      <c r="S27" s="150" t="n">
        <v>0</v>
      </c>
      <c r="T27" s="150" t="n">
        <v>0</v>
      </c>
      <c r="U27" s="150" t="n">
        <v>0</v>
      </c>
      <c r="V27" s="150" t="n">
        <v>0</v>
      </c>
      <c r="W27" s="150" t="n">
        <v>0</v>
      </c>
      <c r="X27" s="150" t="n">
        <v>0</v>
      </c>
      <c r="Y27" s="150" t="n">
        <v>0</v>
      </c>
      <c r="Z27" s="150" t="n">
        <v>0</v>
      </c>
      <c r="AA27" s="150" t="n">
        <v>0</v>
      </c>
      <c r="AB27" s="150" t="n">
        <v>0</v>
      </c>
      <c r="AC27" s="150" t="n">
        <v>0</v>
      </c>
      <c r="AD27" s="150" t="n">
        <v>0</v>
      </c>
      <c r="AE27" s="150" t="n">
        <v>0</v>
      </c>
      <c r="AF27" s="150" t="n">
        <v>0</v>
      </c>
      <c r="AG27" s="150" t="n">
        <v>0</v>
      </c>
      <c r="AH27" s="150" t="n">
        <v>0</v>
      </c>
      <c r="AI27" s="150" t="n">
        <v>0</v>
      </c>
      <c r="AJ27" s="150" t="n">
        <v>0</v>
      </c>
      <c r="AK27" s="150" t="n">
        <v>0</v>
      </c>
      <c r="AL27" s="150" t="n">
        <v>0</v>
      </c>
      <c r="AM27" s="150" t="n">
        <v>0</v>
      </c>
      <c r="AN27" s="150" t="n">
        <v>0</v>
      </c>
      <c r="AO27" s="150" t="n">
        <v>0</v>
      </c>
      <c r="AP27" s="150" t="n">
        <v>0</v>
      </c>
      <c r="AQ27" s="150" t="n">
        <v>0</v>
      </c>
      <c r="AR27" s="150" t="n">
        <v>0</v>
      </c>
      <c r="AS27" s="150" t="n">
        <v>0</v>
      </c>
      <c r="AT27" s="150" t="n">
        <v>0</v>
      </c>
      <c r="AU27" s="150" t="n">
        <v>0</v>
      </c>
      <c r="AV27" s="150" t="n">
        <v>0</v>
      </c>
      <c r="AW27" s="150" t="n">
        <v>0</v>
      </c>
      <c r="AX27" s="150" t="n">
        <v>0</v>
      </c>
      <c r="AY27" s="150" t="n">
        <v>0</v>
      </c>
      <c r="AZ27" s="150" t="n">
        <v>0</v>
      </c>
      <c r="BA27" s="150" t="n">
        <v>0</v>
      </c>
      <c r="BB27" s="150" t="n">
        <v>0</v>
      </c>
      <c r="BC27" s="150" t="n">
        <v>0</v>
      </c>
      <c r="BD27" s="150" t="n">
        <v>0</v>
      </c>
      <c r="BE27" s="152" t="n">
        <v>0</v>
      </c>
      <c r="BF27" s="150" t="n"/>
      <c r="BG27" s="150" t="n"/>
      <c r="BH27" s="150" t="n"/>
      <c r="BI27" s="150" t="n"/>
      <c r="BJ27" s="150" t="n"/>
      <c r="BK27" s="150" t="n"/>
      <c r="BL27" s="150" t="n"/>
      <c r="BM27" s="150" t="n"/>
      <c r="BN27" s="150" t="n"/>
      <c r="BO27" s="150" t="n"/>
      <c r="BP27" s="150" t="n"/>
      <c r="BQ27" s="150" t="n"/>
      <c r="BR27" s="150" t="n"/>
      <c r="BS27" s="150" t="n"/>
      <c r="BT27" s="150" t="n"/>
      <c r="BU27" s="150" t="n"/>
      <c r="BV27" s="150" t="n"/>
      <c r="BW27" s="150" t="n"/>
      <c r="BX27" s="150" t="n"/>
      <c r="BY27" s="150" t="n"/>
      <c r="BZ27" s="150" t="n"/>
      <c r="CA27" s="150" t="n"/>
      <c r="CB27" s="150" t="n"/>
      <c r="CC27" s="150" t="n"/>
      <c r="CD27" s="150" t="n"/>
      <c r="CE27" s="150" t="n"/>
      <c r="CF27" s="150" t="n"/>
      <c r="CG27" s="150" t="n"/>
      <c r="CH27" s="150" t="n"/>
      <c r="CI27" s="150" t="n"/>
      <c r="CJ27" s="150" t="n"/>
      <c r="CK27" s="150" t="n"/>
      <c r="CL27" s="150" t="n"/>
      <c r="CM27" s="150" t="n"/>
      <c r="CN27" s="150" t="n"/>
      <c r="CO27" s="150" t="n"/>
      <c r="CP27" s="150" t="n"/>
      <c r="CQ27" s="150" t="n"/>
      <c r="CR27" s="150" t="n"/>
      <c r="CS27" s="150" t="n"/>
      <c r="CT27" s="150" t="n"/>
      <c r="CU27" s="150" t="n"/>
      <c r="CV27" s="150" t="n"/>
      <c r="CW27" s="150" t="n"/>
      <c r="CX27" s="150" t="n"/>
      <c r="CY27" s="150" t="n"/>
      <c r="CZ27" s="150" t="n"/>
      <c r="DA27" s="150" t="n"/>
    </row>
    <row r="28" outlineLevel="1" ht="15" customFormat="1" customHeight="1" s="244" thickBot="1">
      <c r="A28" s="249">
        <f>MAX(J28:XFD28)</f>
        <v/>
      </c>
      <c r="B28" s="523" t="n"/>
      <c r="C28" s="335" t="inlineStr">
        <is>
          <t>Database Administrator</t>
        </is>
      </c>
      <c r="D28" s="486" t="n"/>
      <c r="E28" s="486" t="n"/>
      <c r="F28" s="242" t="inlineStr">
        <is>
          <t>DBA</t>
        </is>
      </c>
      <c r="G28" s="531">
        <f>SUM(J28:DA28)</f>
        <v/>
      </c>
      <c r="H28" s="531">
        <f>G28*5</f>
        <v/>
      </c>
      <c r="I28" s="531">
        <f>H28*6.7</f>
        <v/>
      </c>
      <c r="J28" s="528" t="n"/>
      <c r="K28" s="528" t="n"/>
      <c r="L28" s="528" t="n"/>
      <c r="M28" s="528" t="n"/>
      <c r="N28" s="528" t="n"/>
      <c r="O28" s="528" t="n"/>
      <c r="P28" s="528" t="n"/>
      <c r="Q28" s="528" t="n"/>
      <c r="R28" s="528" t="n"/>
      <c r="S28" s="528" t="n"/>
      <c r="T28" s="528" t="n"/>
      <c r="U28" s="528" t="n"/>
      <c r="V28" s="528" t="n"/>
      <c r="W28" s="528" t="n"/>
      <c r="X28" s="528" t="n"/>
      <c r="Y28" s="528" t="n"/>
      <c r="Z28" s="528" t="n"/>
      <c r="AA28" s="528" t="n"/>
      <c r="AB28" s="528" t="n"/>
      <c r="AC28" s="528" t="n"/>
      <c r="AD28" s="528" t="n"/>
      <c r="AE28" s="528" t="n"/>
      <c r="AF28" s="528" t="n"/>
      <c r="AG28" s="528" t="n"/>
      <c r="AH28" s="528" t="n"/>
      <c r="AI28" s="528" t="n"/>
      <c r="AJ28" s="528" t="n"/>
      <c r="AK28" s="528" t="n"/>
      <c r="AL28" s="528" t="n"/>
      <c r="AM28" s="528" t="n"/>
      <c r="AN28" s="528" t="n"/>
      <c r="AO28" s="528" t="n"/>
      <c r="AP28" s="528" t="n"/>
      <c r="AQ28" s="528" t="n"/>
      <c r="AR28" s="528" t="n"/>
      <c r="AS28" s="528" t="n"/>
      <c r="AT28" s="528" t="n"/>
      <c r="AU28" s="528" t="n"/>
      <c r="AV28" s="528" t="n"/>
      <c r="AW28" s="528" t="n"/>
      <c r="AX28" s="528" t="n"/>
      <c r="AY28" s="528" t="n"/>
      <c r="AZ28" s="528" t="n"/>
      <c r="BA28" s="528" t="n"/>
      <c r="BB28" s="528" t="n"/>
      <c r="BC28" s="528" t="n"/>
      <c r="BD28" s="528" t="n"/>
      <c r="BE28" s="529" t="n"/>
      <c r="BF28" s="150" t="n"/>
      <c r="BG28" s="150" t="n"/>
      <c r="BH28" s="150" t="n"/>
      <c r="BI28" s="150" t="n"/>
      <c r="BJ28" s="150" t="n"/>
      <c r="BK28" s="150" t="n"/>
      <c r="BL28" s="150" t="n"/>
      <c r="BM28" s="150" t="n"/>
      <c r="BN28" s="150" t="n"/>
      <c r="BO28" s="150" t="n"/>
      <c r="BP28" s="150" t="n"/>
      <c r="BQ28" s="150" t="n"/>
      <c r="BR28" s="150" t="n"/>
      <c r="BS28" s="150" t="n"/>
      <c r="BT28" s="150" t="n"/>
      <c r="BU28" s="150" t="n"/>
      <c r="BV28" s="150" t="n"/>
      <c r="BW28" s="150" t="n"/>
      <c r="BX28" s="150" t="n"/>
      <c r="BY28" s="150" t="n"/>
      <c r="BZ28" s="150" t="n"/>
      <c r="CA28" s="150" t="n"/>
      <c r="CB28" s="150" t="n"/>
      <c r="CC28" s="150" t="n"/>
      <c r="CD28" s="150" t="n"/>
      <c r="CE28" s="150" t="n"/>
      <c r="CF28" s="150" t="n"/>
      <c r="CG28" s="150" t="n"/>
      <c r="CH28" s="150" t="n"/>
      <c r="CI28" s="150" t="n"/>
      <c r="CJ28" s="150" t="n"/>
      <c r="CK28" s="150" t="n"/>
      <c r="CL28" s="150" t="n"/>
      <c r="CM28" s="150" t="n"/>
      <c r="CN28" s="150" t="n"/>
      <c r="CO28" s="150" t="n"/>
      <c r="CP28" s="150" t="n"/>
      <c r="CQ28" s="150" t="n"/>
      <c r="CR28" s="150" t="n"/>
      <c r="CS28" s="150" t="n"/>
      <c r="CT28" s="150" t="n"/>
      <c r="CU28" s="150" t="n"/>
      <c r="CV28" s="150" t="n"/>
      <c r="CW28" s="150" t="n"/>
      <c r="CX28" s="150" t="n"/>
      <c r="CY28" s="150" t="n"/>
      <c r="CZ28" s="150" t="n"/>
      <c r="DA28" s="150" t="n"/>
    </row>
    <row r="29" ht="14.4" customFormat="1" customHeight="1" s="147">
      <c r="A29" s="262" t="n"/>
      <c r="B29" s="262" t="n"/>
      <c r="C29" s="532" t="inlineStr">
        <is>
          <t xml:space="preserve"> PROJECT TIMELINE MUST BE INCLUDED IN TECHNICAL OFFER.</t>
        </is>
      </c>
      <c r="D29" s="502" t="n"/>
      <c r="E29" s="502" t="n"/>
      <c r="F29" s="502" t="n"/>
      <c r="G29" s="502" t="n"/>
      <c r="H29" s="502" t="n"/>
      <c r="I29" s="502" t="n"/>
      <c r="J29" s="502" t="n"/>
      <c r="K29" s="502" t="n"/>
      <c r="L29" s="502" t="n"/>
      <c r="M29" s="502" t="n"/>
      <c r="N29" s="502" t="n"/>
      <c r="O29" s="502" t="n"/>
      <c r="P29" s="502" t="n"/>
      <c r="Q29" s="502" t="n"/>
      <c r="R29" s="502" t="n"/>
      <c r="S29" s="502" t="n"/>
      <c r="T29" s="502" t="n"/>
      <c r="U29" s="502" t="n"/>
      <c r="V29" s="502" t="n"/>
      <c r="W29" s="502" t="n"/>
      <c r="X29" s="502" t="n"/>
      <c r="Y29" s="502" t="n"/>
      <c r="Z29" s="502" t="n"/>
      <c r="AA29" s="502" t="n"/>
      <c r="AB29" s="502" t="n"/>
      <c r="AC29" s="502" t="n"/>
      <c r="AD29" s="502" t="n"/>
      <c r="AE29" s="502" t="n"/>
      <c r="AF29" s="502" t="n"/>
      <c r="AG29" s="502" t="n"/>
      <c r="AH29" s="502" t="n"/>
      <c r="AI29" s="502" t="n"/>
      <c r="AJ29" s="502" t="n"/>
      <c r="AK29" s="502" t="n"/>
      <c r="AL29" s="502" t="n"/>
      <c r="AM29" s="502" t="n"/>
      <c r="AN29" s="502" t="n"/>
      <c r="AO29" s="502" t="n"/>
      <c r="AP29" s="502" t="n"/>
      <c r="AQ29" s="502" t="n"/>
      <c r="AR29" s="502" t="n"/>
      <c r="AS29" s="502" t="n"/>
      <c r="AT29" s="502" t="n"/>
      <c r="AU29" s="502" t="n"/>
      <c r="AV29" s="502" t="n"/>
      <c r="AW29" s="502" t="n"/>
      <c r="AX29" s="502" t="n"/>
      <c r="AY29" s="502" t="n"/>
      <c r="AZ29" s="502" t="n"/>
      <c r="BA29" s="502" t="n"/>
      <c r="BB29" s="502" t="n"/>
      <c r="BC29" s="502" t="n"/>
      <c r="BD29" s="502" t="n"/>
      <c r="BE29" s="533" t="n"/>
      <c r="BF29" s="208" t="n"/>
      <c r="BG29" s="208" t="n"/>
      <c r="BH29" s="208" t="n"/>
      <c r="BI29" s="208" t="n"/>
      <c r="BJ29" s="208" t="n"/>
      <c r="BK29" s="208" t="n"/>
      <c r="BL29" s="208" t="n"/>
      <c r="BM29" s="208" t="n"/>
      <c r="BN29" s="208" t="n"/>
      <c r="BO29" s="208" t="n"/>
      <c r="BP29" s="208" t="n"/>
      <c r="BQ29" s="208" t="n"/>
      <c r="BR29" s="208" t="n"/>
      <c r="BS29" s="208" t="n"/>
      <c r="BT29" s="208" t="n"/>
      <c r="BU29" s="208" t="n"/>
      <c r="BV29" s="208" t="n"/>
      <c r="BW29" s="208" t="n"/>
      <c r="BX29" s="208" t="n"/>
      <c r="BY29" s="208" t="n"/>
      <c r="BZ29" s="208" t="n"/>
      <c r="CA29" s="208" t="n"/>
      <c r="CB29" s="208" t="n"/>
      <c r="CC29" s="208" t="n"/>
      <c r="CD29" s="208" t="n"/>
      <c r="CE29" s="208" t="n"/>
      <c r="CF29" s="208" t="n"/>
      <c r="CG29" s="208" t="n"/>
      <c r="CH29" s="208" t="n"/>
      <c r="CI29" s="208" t="n"/>
      <c r="CJ29" s="208" t="n"/>
      <c r="CK29" s="208" t="n"/>
      <c r="CL29" s="208" t="n"/>
      <c r="CM29" s="208" t="n"/>
      <c r="CN29" s="208" t="n"/>
      <c r="CO29" s="208" t="n"/>
      <c r="CP29" s="208" t="n"/>
      <c r="CQ29" s="208" t="n"/>
      <c r="CR29" s="208" t="n"/>
      <c r="CS29" s="208" t="n"/>
      <c r="CT29" s="208" t="n"/>
      <c r="CU29" s="208" t="n"/>
      <c r="CV29" s="208" t="n"/>
      <c r="CW29" s="208" t="n"/>
      <c r="CX29" s="208" t="n"/>
      <c r="CY29" s="208" t="n"/>
      <c r="CZ29" s="208" t="n"/>
      <c r="DA29" s="208" t="n"/>
    </row>
    <row r="30" ht="15" customFormat="1" customHeight="1" s="147" thickBot="1">
      <c r="A30" s="1" t="n"/>
      <c r="B30" s="1" t="n"/>
      <c r="C30" s="461" t="n"/>
      <c r="D30" s="461" t="n"/>
      <c r="E30" s="461" t="n"/>
      <c r="F30" s="461" t="n"/>
      <c r="G30" s="461" t="n"/>
      <c r="H30" s="461" t="n"/>
      <c r="I30" s="461" t="n"/>
      <c r="J30" s="461" t="n"/>
      <c r="K30" s="461" t="n"/>
      <c r="L30" s="461" t="n"/>
      <c r="M30" s="461" t="n"/>
      <c r="N30" s="461" t="n"/>
      <c r="O30" s="461" t="n"/>
      <c r="P30" s="461" t="n"/>
      <c r="Q30" s="461" t="n"/>
      <c r="R30" s="461" t="n"/>
      <c r="S30" s="461" t="n"/>
      <c r="T30" s="461" t="n"/>
      <c r="U30" s="461" t="n"/>
      <c r="V30" s="461" t="n"/>
      <c r="W30" s="461" t="n"/>
      <c r="X30" s="461" t="n"/>
      <c r="Y30" s="461" t="n"/>
      <c r="Z30" s="461" t="n"/>
      <c r="AA30" s="461" t="n"/>
      <c r="AB30" s="461" t="n"/>
      <c r="AC30" s="461" t="n"/>
      <c r="AD30" s="461" t="n"/>
      <c r="AE30" s="461" t="n"/>
      <c r="AF30" s="461" t="n"/>
      <c r="AG30" s="461" t="n"/>
      <c r="AH30" s="461" t="n"/>
      <c r="AI30" s="461" t="n"/>
      <c r="AJ30" s="461" t="n"/>
      <c r="AK30" s="461" t="n"/>
      <c r="AL30" s="461" t="n"/>
      <c r="AM30" s="461" t="n"/>
      <c r="AN30" s="461" t="n"/>
      <c r="AO30" s="461" t="n"/>
      <c r="AP30" s="461" t="n"/>
      <c r="AQ30" s="461" t="n"/>
      <c r="AR30" s="461" t="n"/>
      <c r="AS30" s="461" t="n"/>
      <c r="AT30" s="461" t="n"/>
      <c r="AU30" s="461" t="n"/>
      <c r="AV30" s="461" t="n"/>
      <c r="AW30" s="461" t="n"/>
      <c r="AX30" s="461" t="n"/>
      <c r="AY30" s="461" t="n"/>
      <c r="AZ30" s="461" t="n"/>
      <c r="BA30" s="461" t="n"/>
      <c r="BB30" s="461" t="n"/>
      <c r="BC30" s="461" t="n"/>
      <c r="BD30" s="461" t="n"/>
      <c r="BE30" s="510" t="n"/>
      <c r="BF30" s="208" t="n"/>
      <c r="BG30" s="208" t="n"/>
      <c r="BH30" s="208" t="n"/>
      <c r="BI30" s="208" t="n"/>
      <c r="BJ30" s="208" t="n"/>
      <c r="BK30" s="208" t="n"/>
      <c r="BL30" s="208" t="n"/>
      <c r="BM30" s="208" t="n"/>
      <c r="BN30" s="208" t="n"/>
      <c r="BO30" s="208" t="n"/>
      <c r="BP30" s="208" t="n"/>
      <c r="BQ30" s="208" t="n"/>
      <c r="BR30" s="208" t="n"/>
      <c r="BS30" s="208" t="n"/>
      <c r="BT30" s="208" t="n"/>
      <c r="BU30" s="208" t="n"/>
      <c r="BV30" s="208" t="n"/>
      <c r="BW30" s="208" t="n"/>
      <c r="BX30" s="208" t="n"/>
      <c r="BY30" s="208" t="n"/>
      <c r="BZ30" s="208" t="n"/>
      <c r="CA30" s="208" t="n"/>
      <c r="CB30" s="208" t="n"/>
      <c r="CC30" s="208" t="n"/>
      <c r="CD30" s="208" t="n"/>
      <c r="CE30" s="208" t="n"/>
      <c r="CF30" s="208" t="n"/>
      <c r="CG30" s="208" t="n"/>
      <c r="CH30" s="208" t="n"/>
      <c r="CI30" s="208" t="n"/>
      <c r="CJ30" s="208" t="n"/>
      <c r="CK30" s="208" t="n"/>
      <c r="CL30" s="208" t="n"/>
      <c r="CM30" s="208" t="n"/>
      <c r="CN30" s="208" t="n"/>
      <c r="CO30" s="208" t="n"/>
      <c r="CP30" s="208" t="n"/>
      <c r="CQ30" s="208" t="n"/>
      <c r="CR30" s="208" t="n"/>
      <c r="CS30" s="208" t="n"/>
      <c r="CT30" s="208" t="n"/>
      <c r="CU30" s="208" t="n"/>
      <c r="CV30" s="208" t="n"/>
      <c r="CW30" s="208" t="n"/>
      <c r="CX30" s="208" t="n"/>
      <c r="CY30" s="208" t="n"/>
      <c r="CZ30" s="208" t="n"/>
      <c r="DA30" s="208" t="n"/>
    </row>
    <row r="31" ht="16.2" customHeight="1">
      <c r="A31" s="369" t="inlineStr">
        <is>
          <t>Phase</t>
        </is>
      </c>
      <c r="B31" s="370" t="n"/>
      <c r="C31" s="357" t="inlineStr">
        <is>
          <t>Scope</t>
        </is>
      </c>
      <c r="D31" s="534" t="inlineStr">
        <is>
          <t>PROJECT TIMELINE</t>
        </is>
      </c>
      <c r="E31" s="502" t="n"/>
      <c r="F31" s="513" t="n"/>
      <c r="G31" s="359" t="inlineStr">
        <is>
          <t>Delivery</t>
        </is>
      </c>
      <c r="H31" s="359" t="inlineStr">
        <is>
          <t>Week
Start</t>
        </is>
      </c>
      <c r="I31" s="285" t="inlineStr">
        <is>
          <t>Duration (weeks)</t>
        </is>
      </c>
      <c r="J31" s="34" t="n"/>
      <c r="K31" s="34" t="n"/>
      <c r="L31" s="34" t="n"/>
      <c r="M31" s="35" t="n"/>
      <c r="N31" s="35" t="n"/>
      <c r="O31" s="35" t="n"/>
      <c r="P31" s="35" t="n"/>
      <c r="Q31" s="35" t="n"/>
      <c r="R31" s="35" t="n"/>
      <c r="S31" s="35" t="n"/>
      <c r="T31" s="35" t="n"/>
      <c r="U31" s="35" t="n"/>
      <c r="V31" s="35" t="n"/>
      <c r="W31" s="35" t="n"/>
      <c r="X31" s="35" t="n"/>
      <c r="Y31" s="35" t="n"/>
      <c r="Z31" s="35" t="n"/>
      <c r="AA31" s="35" t="n"/>
      <c r="AB31" s="35" t="n"/>
      <c r="AC31" s="35" t="n"/>
      <c r="AD31" s="35" t="n"/>
      <c r="AE31" s="35" t="n"/>
      <c r="AF31" s="35" t="n"/>
      <c r="AG31" s="35" t="inlineStr">
        <is>
          <t>Year 1</t>
        </is>
      </c>
      <c r="AH31" s="35" t="n"/>
      <c r="AI31" s="35" t="n"/>
      <c r="AJ31" s="35" t="n"/>
      <c r="AK31" s="35" t="n"/>
      <c r="AL31" s="35" t="n"/>
      <c r="AM31" s="35" t="n"/>
      <c r="AN31" s="35" t="n"/>
      <c r="AO31" s="35" t="n"/>
      <c r="AP31" s="35" t="n"/>
      <c r="AQ31" s="35" t="n"/>
      <c r="AR31" s="35" t="n"/>
      <c r="AS31" s="35" t="n"/>
      <c r="AT31" s="35" t="n"/>
      <c r="AU31" s="35" t="n"/>
      <c r="AV31" s="35" t="n"/>
      <c r="AW31" s="35" t="n"/>
      <c r="AX31" s="35" t="n"/>
      <c r="AY31" s="35" t="n"/>
      <c r="AZ31" s="35" t="n"/>
      <c r="BA31" s="35" t="n"/>
      <c r="BB31" s="35" t="n"/>
      <c r="BC31" s="35" t="n"/>
      <c r="BD31" s="35" t="n"/>
      <c r="BE31" s="151" t="n"/>
      <c r="BF31" s="35" t="n"/>
      <c r="BG31" s="35" t="n"/>
      <c r="BH31" s="35" t="n"/>
      <c r="BI31" s="35" t="n"/>
      <c r="BJ31" s="35" t="n"/>
      <c r="BK31" s="35" t="n"/>
      <c r="BL31" s="35" t="n"/>
      <c r="BM31" s="35" t="n"/>
      <c r="BN31" s="35" t="n"/>
      <c r="BO31" s="35" t="n"/>
      <c r="BP31" s="35" t="n"/>
      <c r="BQ31" s="35" t="n"/>
      <c r="BR31" s="35" t="n"/>
      <c r="BS31" s="35" t="n"/>
      <c r="BT31" s="35" t="n"/>
      <c r="BU31" s="35" t="n"/>
      <c r="BV31" s="35" t="n"/>
      <c r="BW31" s="35" t="n"/>
      <c r="BX31" s="35" t="n"/>
      <c r="BY31" s="35" t="n"/>
      <c r="BZ31" s="35" t="n"/>
      <c r="CA31" s="35" t="n"/>
      <c r="CB31" s="35" t="n"/>
      <c r="CC31" s="35" t="inlineStr">
        <is>
          <t>Year 2</t>
        </is>
      </c>
      <c r="CD31" s="35" t="n"/>
      <c r="CE31" s="35" t="n"/>
      <c r="CF31" s="35" t="n"/>
      <c r="CG31" s="35" t="n"/>
      <c r="CH31" s="35" t="n"/>
      <c r="CI31" s="35" t="n"/>
      <c r="CJ31" s="35" t="n"/>
      <c r="CK31" s="35" t="n"/>
      <c r="CL31" s="35" t="n"/>
      <c r="CM31" s="35" t="n"/>
      <c r="CN31" s="35" t="n"/>
      <c r="CO31" s="35" t="n"/>
      <c r="CP31" s="35" t="n"/>
      <c r="CQ31" s="35" t="n"/>
      <c r="CR31" s="35" t="n"/>
      <c r="CS31" s="35" t="n"/>
      <c r="CT31" s="35" t="n"/>
      <c r="CU31" s="35" t="n"/>
      <c r="CV31" s="35" t="n"/>
      <c r="CW31" s="35" t="n"/>
      <c r="CX31" s="35" t="n"/>
      <c r="CY31" s="35" t="n"/>
      <c r="CZ31" s="35" t="n"/>
      <c r="DA31" s="36" t="n"/>
    </row>
    <row r="32">
      <c r="A32" s="535" t="n"/>
      <c r="B32" s="536" t="n"/>
      <c r="C32" s="537" t="n"/>
      <c r="D32" s="535" t="n"/>
      <c r="F32" s="536" t="n"/>
      <c r="G32" s="536" t="n"/>
      <c r="H32" s="536" t="n"/>
      <c r="I32" s="538" t="n"/>
      <c r="J32" s="276" t="inlineStr">
        <is>
          <t>M1</t>
        </is>
      </c>
      <c r="K32" s="485" t="n"/>
      <c r="L32" s="485" t="n"/>
      <c r="M32" s="485" t="n"/>
      <c r="N32" s="275" t="inlineStr">
        <is>
          <t>M2</t>
        </is>
      </c>
      <c r="O32" s="485" t="n"/>
      <c r="P32" s="485" t="n"/>
      <c r="Q32" s="485" t="n"/>
      <c r="R32" s="539" t="inlineStr">
        <is>
          <t>M3</t>
        </is>
      </c>
      <c r="S32" s="485" t="n"/>
      <c r="T32" s="485" t="n"/>
      <c r="U32" s="484" t="n"/>
      <c r="V32" s="275" t="inlineStr">
        <is>
          <t>M4</t>
        </is>
      </c>
      <c r="W32" s="485" t="n"/>
      <c r="X32" s="485" t="n"/>
      <c r="Y32" s="485" t="n"/>
      <c r="Z32" s="275" t="inlineStr">
        <is>
          <t>M5</t>
        </is>
      </c>
      <c r="AA32" s="485" t="n"/>
      <c r="AB32" s="485" t="n"/>
      <c r="AC32" s="485" t="n"/>
      <c r="AD32" s="275" t="inlineStr">
        <is>
          <t>M6</t>
        </is>
      </c>
      <c r="AE32" s="485" t="n"/>
      <c r="AF32" s="485" t="n"/>
      <c r="AG32" s="485" t="n"/>
      <c r="AH32" s="275" t="inlineStr">
        <is>
          <t>M7</t>
        </is>
      </c>
      <c r="AI32" s="485" t="n"/>
      <c r="AJ32" s="485" t="n"/>
      <c r="AK32" s="485" t="n"/>
      <c r="AL32" s="275" t="inlineStr">
        <is>
          <t>M8</t>
        </is>
      </c>
      <c r="AM32" s="485" t="n"/>
      <c r="AN32" s="485" t="n"/>
      <c r="AO32" s="485" t="n"/>
      <c r="AP32" s="275" t="inlineStr">
        <is>
          <t>M9</t>
        </is>
      </c>
      <c r="AQ32" s="485" t="n"/>
      <c r="AR32" s="485" t="n"/>
      <c r="AS32" s="485" t="n"/>
      <c r="AT32" s="275" t="inlineStr">
        <is>
          <t>M10</t>
        </is>
      </c>
      <c r="AU32" s="485" t="n"/>
      <c r="AV32" s="485" t="n"/>
      <c r="AW32" s="485" t="n"/>
      <c r="AX32" s="275" t="inlineStr">
        <is>
          <t>M11</t>
        </is>
      </c>
      <c r="AY32" s="485" t="n"/>
      <c r="AZ32" s="485" t="n"/>
      <c r="BA32" s="485" t="n"/>
      <c r="BB32" s="539" t="inlineStr">
        <is>
          <t>M12</t>
        </is>
      </c>
      <c r="BC32" s="485" t="n"/>
      <c r="BD32" s="485" t="n"/>
      <c r="BE32" s="484" t="n"/>
      <c r="BF32" s="276" t="inlineStr">
        <is>
          <t>M13</t>
        </is>
      </c>
      <c r="BG32" s="485" t="n"/>
      <c r="BH32" s="485" t="n"/>
      <c r="BI32" s="485" t="n"/>
      <c r="BJ32" s="275" t="inlineStr">
        <is>
          <t>M14</t>
        </is>
      </c>
      <c r="BK32" s="485" t="n"/>
      <c r="BL32" s="485" t="n"/>
      <c r="BM32" s="485" t="n"/>
      <c r="BN32" s="275" t="inlineStr">
        <is>
          <t>M15</t>
        </is>
      </c>
      <c r="BO32" s="485" t="n"/>
      <c r="BP32" s="485" t="n"/>
      <c r="BQ32" s="485" t="n"/>
      <c r="BR32" s="275" t="inlineStr">
        <is>
          <t>M16</t>
        </is>
      </c>
      <c r="BS32" s="485" t="n"/>
      <c r="BT32" s="485" t="n"/>
      <c r="BU32" s="485" t="n"/>
      <c r="BV32" s="275" t="inlineStr">
        <is>
          <t>M17</t>
        </is>
      </c>
      <c r="BW32" s="485" t="n"/>
      <c r="BX32" s="485" t="n"/>
      <c r="BY32" s="485" t="n"/>
      <c r="BZ32" s="275" t="inlineStr">
        <is>
          <t>M18</t>
        </is>
      </c>
      <c r="CA32" s="485" t="n"/>
      <c r="CB32" s="485" t="n"/>
      <c r="CC32" s="485" t="n"/>
      <c r="CD32" s="275" t="inlineStr">
        <is>
          <t>M19</t>
        </is>
      </c>
      <c r="CE32" s="485" t="n"/>
      <c r="CF32" s="485" t="n"/>
      <c r="CG32" s="485" t="n"/>
      <c r="CH32" s="275" t="inlineStr">
        <is>
          <t>M20</t>
        </is>
      </c>
      <c r="CI32" s="485" t="n"/>
      <c r="CJ32" s="485" t="n"/>
      <c r="CK32" s="485" t="n"/>
      <c r="CL32" s="275" t="inlineStr">
        <is>
          <t>M21</t>
        </is>
      </c>
      <c r="CM32" s="485" t="n"/>
      <c r="CN32" s="485" t="n"/>
      <c r="CO32" s="485" t="n"/>
      <c r="CP32" s="275" t="inlineStr">
        <is>
          <t>M22</t>
        </is>
      </c>
      <c r="CQ32" s="485" t="n"/>
      <c r="CR32" s="485" t="n"/>
      <c r="CS32" s="485" t="n"/>
      <c r="CT32" s="275" t="inlineStr">
        <is>
          <t>M23</t>
        </is>
      </c>
      <c r="CU32" s="485" t="n"/>
      <c r="CV32" s="485" t="n"/>
      <c r="CW32" s="485" t="n"/>
      <c r="CX32" s="540" t="inlineStr">
        <is>
          <t>M24</t>
        </is>
      </c>
      <c r="CY32" s="485" t="n"/>
      <c r="CZ32" s="485" t="n"/>
      <c r="DA32" s="517" t="n"/>
    </row>
    <row r="33" ht="15" customHeight="1" thickBot="1">
      <c r="A33" s="519" t="n"/>
      <c r="B33" s="536" t="n"/>
      <c r="C33" s="537" t="n"/>
      <c r="D33" s="535" t="n"/>
      <c r="F33" s="536" t="n"/>
      <c r="G33" s="536" t="n"/>
      <c r="H33" s="536" t="n"/>
      <c r="I33" s="538" t="n"/>
      <c r="J33" s="40" t="n">
        <v>1</v>
      </c>
      <c r="K33" s="38" t="n">
        <v>2</v>
      </c>
      <c r="L33" s="38" t="n">
        <v>3</v>
      </c>
      <c r="M33" s="38" t="n">
        <v>4</v>
      </c>
      <c r="N33" s="38" t="n">
        <v>5</v>
      </c>
      <c r="O33" s="38" t="n">
        <v>6</v>
      </c>
      <c r="P33" s="38" t="n">
        <v>7</v>
      </c>
      <c r="Q33" s="38" t="n">
        <v>8</v>
      </c>
      <c r="R33" s="38" t="n">
        <v>9</v>
      </c>
      <c r="S33" s="38" t="n">
        <v>10</v>
      </c>
      <c r="T33" s="38" t="n">
        <v>11</v>
      </c>
      <c r="U33" s="38" t="n">
        <v>12</v>
      </c>
      <c r="V33" s="38" t="n">
        <v>13</v>
      </c>
      <c r="W33" s="38" t="n">
        <v>14</v>
      </c>
      <c r="X33" s="38" t="n">
        <v>15</v>
      </c>
      <c r="Y33" s="38" t="n">
        <v>16</v>
      </c>
      <c r="Z33" s="38" t="n">
        <v>17</v>
      </c>
      <c r="AA33" s="38" t="n">
        <v>18</v>
      </c>
      <c r="AB33" s="38" t="n">
        <v>19</v>
      </c>
      <c r="AC33" s="38" t="n">
        <v>20</v>
      </c>
      <c r="AD33" s="38" t="n">
        <v>21</v>
      </c>
      <c r="AE33" s="38" t="n">
        <v>22</v>
      </c>
      <c r="AF33" s="38" t="n">
        <v>23</v>
      </c>
      <c r="AG33" s="38" t="n">
        <v>24</v>
      </c>
      <c r="AH33" s="38" t="n">
        <v>25</v>
      </c>
      <c r="AI33" s="38" t="n">
        <v>26</v>
      </c>
      <c r="AJ33" s="38" t="n">
        <v>27</v>
      </c>
      <c r="AK33" s="38" t="n">
        <v>28</v>
      </c>
      <c r="AL33" s="38" t="n">
        <v>29</v>
      </c>
      <c r="AM33" s="38" t="n">
        <v>30</v>
      </c>
      <c r="AN33" s="38" t="n">
        <v>31</v>
      </c>
      <c r="AO33" s="38" t="n">
        <v>32</v>
      </c>
      <c r="AP33" s="38" t="n">
        <v>33</v>
      </c>
      <c r="AQ33" s="38" t="n">
        <v>34</v>
      </c>
      <c r="AR33" s="38" t="n">
        <v>35</v>
      </c>
      <c r="AS33" s="38" t="n">
        <v>36</v>
      </c>
      <c r="AT33" s="38" t="n">
        <v>37</v>
      </c>
      <c r="AU33" s="38" t="n">
        <v>38</v>
      </c>
      <c r="AV33" s="38" t="n">
        <v>39</v>
      </c>
      <c r="AW33" s="38" t="n">
        <v>40</v>
      </c>
      <c r="AX33" s="38" t="n">
        <v>41</v>
      </c>
      <c r="AY33" s="38" t="n">
        <v>42</v>
      </c>
      <c r="AZ33" s="38" t="n">
        <v>43</v>
      </c>
      <c r="BA33" s="38" t="n">
        <v>44</v>
      </c>
      <c r="BB33" s="38" t="n">
        <v>45</v>
      </c>
      <c r="BC33" s="38" t="n">
        <v>46</v>
      </c>
      <c r="BD33" s="38" t="n">
        <v>47</v>
      </c>
      <c r="BE33" s="38" t="n">
        <v>48</v>
      </c>
      <c r="BF33" s="40" t="n">
        <v>49</v>
      </c>
      <c r="BG33" s="38" t="n">
        <v>50</v>
      </c>
      <c r="BH33" s="38" t="n">
        <v>51</v>
      </c>
      <c r="BI33" s="38" t="n">
        <v>52</v>
      </c>
      <c r="BJ33" s="38" t="n">
        <v>53</v>
      </c>
      <c r="BK33" s="38" t="n">
        <v>54</v>
      </c>
      <c r="BL33" s="38" t="n">
        <v>55</v>
      </c>
      <c r="BM33" s="38" t="n">
        <v>56</v>
      </c>
      <c r="BN33" s="38" t="n">
        <v>57</v>
      </c>
      <c r="BO33" s="38" t="n">
        <v>58</v>
      </c>
      <c r="BP33" s="38" t="n">
        <v>59</v>
      </c>
      <c r="BQ33" s="38" t="n">
        <v>60</v>
      </c>
      <c r="BR33" s="38" t="n">
        <v>61</v>
      </c>
      <c r="BS33" s="38" t="n">
        <v>62</v>
      </c>
      <c r="BT33" s="38" t="n">
        <v>63</v>
      </c>
      <c r="BU33" s="38" t="n">
        <v>64</v>
      </c>
      <c r="BV33" s="38" t="n">
        <v>65</v>
      </c>
      <c r="BW33" s="38" t="n">
        <v>66</v>
      </c>
      <c r="BX33" s="38" t="n">
        <v>67</v>
      </c>
      <c r="BY33" s="38" t="n">
        <v>68</v>
      </c>
      <c r="BZ33" s="38" t="n">
        <v>69</v>
      </c>
      <c r="CA33" s="38" t="n">
        <v>70</v>
      </c>
      <c r="CB33" s="38" t="n">
        <v>71</v>
      </c>
      <c r="CC33" s="38" t="n">
        <v>72</v>
      </c>
      <c r="CD33" s="38" t="n">
        <v>73</v>
      </c>
      <c r="CE33" s="38" t="n">
        <v>74</v>
      </c>
      <c r="CF33" s="38" t="n">
        <v>75</v>
      </c>
      <c r="CG33" s="38" t="n">
        <v>76</v>
      </c>
      <c r="CH33" s="38" t="n">
        <v>77</v>
      </c>
      <c r="CI33" s="38" t="n">
        <v>78</v>
      </c>
      <c r="CJ33" s="38" t="n">
        <v>79</v>
      </c>
      <c r="CK33" s="38" t="n">
        <v>80</v>
      </c>
      <c r="CL33" s="38" t="n">
        <v>81</v>
      </c>
      <c r="CM33" s="38" t="n">
        <v>82</v>
      </c>
      <c r="CN33" s="38" t="n">
        <v>83</v>
      </c>
      <c r="CO33" s="38" t="n">
        <v>84</v>
      </c>
      <c r="CP33" s="38" t="n">
        <v>85</v>
      </c>
      <c r="CQ33" s="38" t="n">
        <v>86</v>
      </c>
      <c r="CR33" s="38" t="n">
        <v>87</v>
      </c>
      <c r="CS33" s="38" t="n">
        <v>88</v>
      </c>
      <c r="CT33" s="38" t="n">
        <v>89</v>
      </c>
      <c r="CU33" s="38" t="n">
        <v>90</v>
      </c>
      <c r="CV33" s="38" t="n">
        <v>91</v>
      </c>
      <c r="CW33" s="38" t="n">
        <v>92</v>
      </c>
      <c r="CX33" s="38" t="n">
        <v>93</v>
      </c>
      <c r="CY33" s="38" t="n">
        <v>94</v>
      </c>
      <c r="CZ33" s="38" t="n">
        <v>95</v>
      </c>
      <c r="DA33" s="39" t="n">
        <v>96</v>
      </c>
    </row>
    <row r="34" ht="14.4" customHeight="1">
      <c r="A34" s="32" t="n">
        <v>1</v>
      </c>
      <c r="B34" s="536" t="n"/>
      <c r="C34" s="541" t="inlineStr">
        <is>
          <t>Service</t>
        </is>
      </c>
      <c r="D34" s="361" t="inlineStr">
        <is>
          <t xml:space="preserve">Requirement Workshop      </t>
        </is>
      </c>
      <c r="E34" s="463" t="n"/>
      <c r="F34" s="463" t="n"/>
      <c r="G34" s="250" t="inlineStr">
        <is>
          <t>BRD</t>
        </is>
      </c>
      <c r="H34" s="263" t="n">
        <v>1</v>
      </c>
      <c r="I34" s="251" t="n">
        <v>2</v>
      </c>
      <c r="J34" s="202">
        <f>IFERROR(IF($H34+$I34=J$33,$A34,(IF((J$33&lt;$H34+$I34),(IF(J$33&gt;$H34,$A34,"")),""))),"")</f>
        <v/>
      </c>
      <c r="K34" s="202">
        <f>IFERROR(IF($H34+$I34=K$33,$A34,(IF((K$33&lt;$H34+$I34),(IF(K$33&gt;$H34,$A34,"")),""))),"")</f>
        <v/>
      </c>
      <c r="L34" s="202">
        <f>IFERROR(IF($H34+$I34=L$33,$A34,(IF((L$33&lt;$H34+$I34),(IF(L$33&gt;$H34,$A34,"")),""))),"")</f>
        <v/>
      </c>
      <c r="M34" s="202">
        <f>IFERROR(IF($H34+$I34=M$33,$A34,(IF((M$33&lt;$H34+$I34),(IF(M$33&gt;$H34,$A34,"")),""))),"")</f>
        <v/>
      </c>
      <c r="N34" s="202">
        <f>IFERROR(IF($H34+$I34=N$33,$A34,(IF((N$33&lt;$H34+$I34),(IF(N$33&gt;$H34,$A34,"")),""))),"")</f>
        <v/>
      </c>
      <c r="O34" s="202">
        <f>IFERROR(IF($H34+$I34=O$33,$A34,(IF((O$33&lt;$H34+$I34),(IF(O$33&gt;$H34,$A34,"")),""))),"")</f>
        <v/>
      </c>
      <c r="P34" s="202">
        <f>IFERROR(IF($H34+$I34=P$33,$A34,(IF((P$33&lt;$H34+$I34),(IF(P$33&gt;$H34,$A34,"")),""))),"")</f>
        <v/>
      </c>
      <c r="Q34" s="202">
        <f>IFERROR(IF($H34+$I34=Q$33,$A34,(IF((Q$33&lt;$H34+$I34),(IF(Q$33&gt;$H34,$A34,"")),""))),"")</f>
        <v/>
      </c>
      <c r="R34" s="202">
        <f>IFERROR(IF($H34+$I34=R$33,$A34,(IF((R$33&lt;$H34+$I34),(IF(R$33&gt;$H34,$A34,"")),""))),"")</f>
        <v/>
      </c>
      <c r="S34" s="202">
        <f>IFERROR(IF($H34+$I34=S$33,$A34,(IF((S$33&lt;$H34+$I34),(IF(S$33&gt;$H34,$A34,"")),""))),"")</f>
        <v/>
      </c>
      <c r="T34" s="202">
        <f>IFERROR(IF($H34+$I34=T$33,$A34,(IF((T$33&lt;$H34+$I34),(IF(T$33&gt;$H34,$A34,"")),""))),"")</f>
        <v/>
      </c>
      <c r="U34" s="202">
        <f>IFERROR(IF($H34+$I34=U$33,$A34,(IF((U$33&lt;$H34+$I34),(IF(U$33&gt;$H34,$A34,"")),""))),"")</f>
        <v/>
      </c>
      <c r="V34" s="202">
        <f>IFERROR(IF($H34+$I34=V$33,$A34,(IF((V$33&lt;$H34+$I34),(IF(V$33&gt;$H34,$A34,"")),""))),"")</f>
        <v/>
      </c>
      <c r="W34" s="202">
        <f>IFERROR(IF($H34+$I34=W$33,$A34,(IF((W$33&lt;$H34+$I34),(IF(W$33&gt;$H34,$A34,"")),""))),"")</f>
        <v/>
      </c>
      <c r="X34" s="202">
        <f>IFERROR(IF($H34+$I34=X$33,$A34,(IF((X$33&lt;$H34+$I34),(IF(X$33&gt;$H34,$A34,"")),""))),"")</f>
        <v/>
      </c>
      <c r="Y34" s="202">
        <f>IFERROR(IF($H34+$I34=Y$33,$A34,(IF((Y$33&lt;$H34+$I34),(IF(Y$33&gt;$H34,$A34,"")),""))),"")</f>
        <v/>
      </c>
      <c r="Z34" s="202">
        <f>IFERROR(IF($H34+$I34=Z$33,$A34,(IF((Z$33&lt;$H34+$I34),(IF(Z$33&gt;$H34,$A34,"")),""))),"")</f>
        <v/>
      </c>
      <c r="AA34" s="202">
        <f>IFERROR(IF($H34+$I34=AA$33,$A34,(IF((AA$33&lt;$H34+$I34),(IF(AA$33&gt;$H34,$A34,"")),""))),"")</f>
        <v/>
      </c>
      <c r="AB34" s="202">
        <f>IFERROR(IF($H34+$I34=AB$33,$A34,(IF((AB$33&lt;$H34+$I34),(IF(AB$33&gt;$H34,$A34,"")),""))),"")</f>
        <v/>
      </c>
      <c r="AC34" s="202">
        <f>IFERROR(IF($H34+$I34=AC$33,$A34,(IF((AC$33&lt;$H34+$I34),(IF(AC$33&gt;$H34,$A34,"")),""))),"")</f>
        <v/>
      </c>
      <c r="AD34" s="202">
        <f>IFERROR(IF($H34+$I34=AD$33,$A34,(IF((AD$33&lt;$H34+$I34),(IF(AD$33&gt;$H34,$A34,"")),""))),"")</f>
        <v/>
      </c>
      <c r="AE34" s="202">
        <f>IFERROR(IF($H34+$I34=AE$33,$A34,(IF((AE$33&lt;$H34+$I34),(IF(AE$33&gt;$H34,$A34,"")),""))),"")</f>
        <v/>
      </c>
      <c r="AF34" s="202">
        <f>IFERROR(IF($H34+$I34=AF$33,$A34,(IF((AF$33&lt;$H34+$I34),(IF(AF$33&gt;$H34,$A34,"")),""))),"")</f>
        <v/>
      </c>
      <c r="AG34" s="202">
        <f>IFERROR(IF($H34+$I34=AG$33,$A34,(IF((AG$33&lt;$H34+$I34),(IF(AG$33&gt;$H34,$A34,"")),""))),"")</f>
        <v/>
      </c>
      <c r="AH34" s="202">
        <f>IFERROR(IF($H34+$I34=AH$33,$A34,(IF((AH$33&lt;$H34+$I34),(IF(AH$33&gt;$H34,$A34,"")),""))),"")</f>
        <v/>
      </c>
      <c r="AI34" s="202">
        <f>IFERROR(IF($H34+$I34=AI$33,$A34,(IF((AI$33&lt;$H34+$I34),(IF(AI$33&gt;$H34,$A34,"")),""))),"")</f>
        <v/>
      </c>
      <c r="AJ34" s="202">
        <f>IFERROR(IF($H34+$I34=AJ$33,$A34,(IF((AJ$33&lt;$H34+$I34),(IF(AJ$33&gt;$H34,$A34,"")),""))),"")</f>
        <v/>
      </c>
      <c r="AK34" s="202">
        <f>IFERROR(IF($H34+$I34=AK$33,$A34,(IF((AK$33&lt;$H34+$I34),(IF(AK$33&gt;$H34,$A34,"")),""))),"")</f>
        <v/>
      </c>
      <c r="AL34" s="202">
        <f>IFERROR(IF($H34+$I34=AL$33,$A34,(IF((AL$33&lt;$H34+$I34),(IF(AL$33&gt;$H34,$A34,"")),""))),"")</f>
        <v/>
      </c>
      <c r="AM34" s="202">
        <f>IFERROR(IF($H34+$I34=AM$33,$A34,(IF((AM$33&lt;$H34+$I34),(IF(AM$33&gt;$H34,$A34,"")),""))),"")</f>
        <v/>
      </c>
      <c r="AN34" s="202">
        <f>IFERROR(IF($H34+$I34=AN$33,$A34,(IF((AN$33&lt;$H34+$I34),(IF(AN$33&gt;$H34,$A34,"")),""))),"")</f>
        <v/>
      </c>
      <c r="AO34" s="202">
        <f>IFERROR(IF($H34+$I34=AO$33,$A34,(IF((AO$33&lt;$H34+$I34),(IF(AO$33&gt;$H34,$A34,"")),""))),"")</f>
        <v/>
      </c>
      <c r="AP34" s="202">
        <f>IFERROR(IF($H34+$I34=AP$33,$A34,(IF((AP$33&lt;$H34+$I34),(IF(AP$33&gt;$H34,$A34,"")),""))),"")</f>
        <v/>
      </c>
      <c r="AQ34" s="202">
        <f>IFERROR(IF($H34+$I34=AQ$33,$A34,(IF((AQ$33&lt;$H34+$I34),(IF(AQ$33&gt;$H34,$A34,"")),""))),"")</f>
        <v/>
      </c>
      <c r="AR34" s="202">
        <f>IFERROR(IF($H34+$I34=AR$33,$A34,(IF((AR$33&lt;$H34+$I34),(IF(AR$33&gt;$H34,$A34,"")),""))),"")</f>
        <v/>
      </c>
      <c r="AS34" s="202">
        <f>IFERROR(IF($H34+$I34=AS$33,$A34,(IF((AS$33&lt;$H34+$I34),(IF(AS$33&gt;$H34,$A34,"")),""))),"")</f>
        <v/>
      </c>
      <c r="AT34" s="202">
        <f>IFERROR(IF($H34+$I34=AT$33,$A34,(IF((AT$33&lt;$H34+$I34),(IF(AT$33&gt;$H34,$A34,"")),""))),"")</f>
        <v/>
      </c>
      <c r="AU34" s="202">
        <f>IFERROR(IF($H34+$I34=AU$33,$A34,(IF((AU$33&lt;$H34+$I34),(IF(AU$33&gt;$H34,$A34,"")),""))),"")</f>
        <v/>
      </c>
      <c r="AV34" s="202">
        <f>IFERROR(IF($H34+$I34=AV$33,$A34,(IF((AV$33&lt;$H34+$I34),(IF(AV$33&gt;$H34,$A34,"")),""))),"")</f>
        <v/>
      </c>
      <c r="AW34" s="202">
        <f>IFERROR(IF($H34+$I34=AW$33,$A34,(IF((AW$33&lt;$H34+$I34),(IF(AW$33&gt;$H34,$A34,"")),""))),"")</f>
        <v/>
      </c>
      <c r="AX34" s="202">
        <f>IFERROR(IF($H34+$I34=AX$33,$A34,(IF((AX$33&lt;$H34+$I34),(IF(AX$33&gt;$H34,$A34,"")),""))),"")</f>
        <v/>
      </c>
      <c r="AY34" s="202">
        <f>IFERROR(IF($H34+$I34=AY$33,$A34,(IF((AY$33&lt;$H34+$I34),(IF(AY$33&gt;$H34,$A34,"")),""))),"")</f>
        <v/>
      </c>
      <c r="AZ34" s="202">
        <f>IFERROR(IF($H34+$I34=AZ$33,$A34,(IF((AZ$33&lt;$H34+$I34),(IF(AZ$33&gt;$H34,$A34,"")),""))),"")</f>
        <v/>
      </c>
      <c r="BA34" s="202">
        <f>IFERROR(IF($H34+$I34=BA$33,$A34,(IF((BA$33&lt;$H34+$I34),(IF(BA$33&gt;$H34,$A34,"")),""))),"")</f>
        <v/>
      </c>
      <c r="BB34" s="202">
        <f>IFERROR(IF($H34+$I34=BB$33,$A34,(IF((BB$33&lt;$H34+$I34),(IF(BB$33&gt;$H34,$A34,"")),""))),"")</f>
        <v/>
      </c>
      <c r="BC34" s="202">
        <f>IFERROR(IF($H34+$I34=BC$33,$A34,(IF((BC$33&lt;$H34+$I34),(IF(BC$33&gt;$H34,$A34,"")),""))),"")</f>
        <v/>
      </c>
      <c r="BD34" s="202">
        <f>IFERROR(IF($H34+$I34=BD$33,$A34,(IF((BD$33&lt;$H34+$I34),(IF(BD$33&gt;$H34,$A34,"")),""))),"")</f>
        <v/>
      </c>
      <c r="BE34" s="203">
        <f>IFERROR(IF($H34+$I34=BE$33,$A34,(IF((BE$33&lt;$H34+$I34),(IF(BE$33&gt;$H34,$A34,"")),""))),"")</f>
        <v/>
      </c>
      <c r="BF34" s="202">
        <f>IFERROR(IF($H34+$I34=BF$33,$A34,(IF((BF$33&lt;$H34+$I34),(IF(BF$33&gt;$H34,$A34,"")),""))),"")</f>
        <v/>
      </c>
      <c r="BG34" s="202">
        <f>IFERROR(IF($H34+$I34=BG$33,$A34,(IF((BG$33&lt;$H34+$I34),(IF(BG$33&gt;$H34,$A34,"")),""))),"")</f>
        <v/>
      </c>
      <c r="BH34" s="202">
        <f>IFERROR(IF($H34+$I34=BH$33,$A34,(IF((BH$33&lt;$H34+$I34),(IF(BH$33&gt;$H34,$A34,"")),""))),"")</f>
        <v/>
      </c>
      <c r="BI34" s="202">
        <f>IFERROR(IF($H34+$I34=BI$33,$A34,(IF((BI$33&lt;$H34+$I34),(IF(BI$33&gt;$H34,$A34,"")),""))),"")</f>
        <v/>
      </c>
      <c r="BJ34" s="202">
        <f>IFERROR(IF($H34+$I34=BJ$33,$A34,(IF((BJ$33&lt;$H34+$I34),(IF(BJ$33&gt;$H34,$A34,"")),""))),"")</f>
        <v/>
      </c>
      <c r="BK34" s="202">
        <f>IFERROR(IF($H34+$I34=BK$33,$A34,(IF((BK$33&lt;$H34+$I34),(IF(BK$33&gt;$H34,$A34,"")),""))),"")</f>
        <v/>
      </c>
      <c r="BL34" s="202">
        <f>IFERROR(IF($H34+$I34=BL$33,$A34,(IF((BL$33&lt;$H34+$I34),(IF(BL$33&gt;$H34,$A34,"")),""))),"")</f>
        <v/>
      </c>
      <c r="BM34" s="202">
        <f>IFERROR(IF($H34+$I34=BM$33,$A34,(IF((BM$33&lt;$H34+$I34),(IF(BM$33&gt;$H34,$A34,"")),""))),"")</f>
        <v/>
      </c>
      <c r="BN34" s="202">
        <f>IFERROR(IF($H34+$I34=BN$33,$A34,(IF((BN$33&lt;$H34+$I34),(IF(BN$33&gt;$H34,$A34,"")),""))),"")</f>
        <v/>
      </c>
      <c r="BO34" s="202">
        <f>IFERROR(IF($H34+$I34=BO$33,$A34,(IF((BO$33&lt;$H34+$I34),(IF(BO$33&gt;$H34,$A34,"")),""))),"")</f>
        <v/>
      </c>
      <c r="BP34" s="202">
        <f>IFERROR(IF($H34+$I34=BP$33,$A34,(IF((BP$33&lt;$H34+$I34),(IF(BP$33&gt;$H34,$A34,"")),""))),"")</f>
        <v/>
      </c>
      <c r="BQ34" s="202">
        <f>IFERROR(IF($H34+$I34=BQ$33,$A34,(IF((BQ$33&lt;$H34+$I34),(IF(BQ$33&gt;$H34,$A34,"")),""))),"")</f>
        <v/>
      </c>
      <c r="BR34" s="202">
        <f>IFERROR(IF($H34+$I34=BR$33,$A34,(IF((BR$33&lt;$H34+$I34),(IF(BR$33&gt;$H34,$A34,"")),""))),"")</f>
        <v/>
      </c>
      <c r="BS34" s="202">
        <f>IFERROR(IF($H34+$I34=BS$33,$A34,(IF((BS$33&lt;$H34+$I34),(IF(BS$33&gt;$H34,$A34,"")),""))),"")</f>
        <v/>
      </c>
      <c r="BT34" s="202">
        <f>IFERROR(IF($H34+$I34=BT$33,$A34,(IF((BT$33&lt;$H34+$I34),(IF(BT$33&gt;$H34,$A34,"")),""))),"")</f>
        <v/>
      </c>
      <c r="BU34" s="202">
        <f>IFERROR(IF($H34+$I34=BU$33,$A34,(IF((BU$33&lt;$H34+$I34),(IF(BU$33&gt;$H34,$A34,"")),""))),"")</f>
        <v/>
      </c>
      <c r="BV34" s="202">
        <f>IFERROR(IF($H34+$I34=BV$33,$A34,(IF((BV$33&lt;$H34+$I34),(IF(BV$33&gt;$H34,$A34,"")),""))),"")</f>
        <v/>
      </c>
      <c r="BW34" s="202">
        <f>IFERROR(IF($H34+$I34=BW$33,$A34,(IF((BW$33&lt;$H34+$I34),(IF(BW$33&gt;$H34,$A34,"")),""))),"")</f>
        <v/>
      </c>
      <c r="BX34" s="202">
        <f>IFERROR(IF($H34+$I34=BX$33,$A34,(IF((BX$33&lt;$H34+$I34),(IF(BX$33&gt;$H34,$A34,"")),""))),"")</f>
        <v/>
      </c>
      <c r="BY34" s="202">
        <f>IFERROR(IF($H34+$I34=BY$33,$A34,(IF((BY$33&lt;$H34+$I34),(IF(BY$33&gt;$H34,$A34,"")),""))),"")</f>
        <v/>
      </c>
      <c r="BZ34" s="202">
        <f>IFERROR(IF($H34+$I34=BZ$33,$A34,(IF((BZ$33&lt;$H34+$I34),(IF(BZ$33&gt;$H34,$A34,"")),""))),"")</f>
        <v/>
      </c>
      <c r="CA34" s="202">
        <f>IFERROR(IF($H34+$I34=CA$33,$A34,(IF((CA$33&lt;$H34+$I34),(IF(CA$33&gt;$H34,$A34,"")),""))),"")</f>
        <v/>
      </c>
      <c r="CB34" s="202">
        <f>IFERROR(IF($H34+$I34=CB$33,$A34,(IF((CB$33&lt;$H34+$I34),(IF(CB$33&gt;$H34,$A34,"")),""))),"")</f>
        <v/>
      </c>
      <c r="CC34" s="202">
        <f>IFERROR(IF($H34+$I34=CC$33,$A34,(IF((CC$33&lt;$H34+$I34),(IF(CC$33&gt;$H34,$A34,"")),""))),"")</f>
        <v/>
      </c>
      <c r="CD34" s="202">
        <f>IFERROR(IF($H34+$I34=CD$33,$A34,(IF((CD$33&lt;$H34+$I34),(IF(CD$33&gt;$H34,$A34,"")),""))),"")</f>
        <v/>
      </c>
      <c r="CE34" s="202">
        <f>IFERROR(IF($H34+$I34=CE$33,$A34,(IF((CE$33&lt;$H34+$I34),(IF(CE$33&gt;$H34,$A34,"")),""))),"")</f>
        <v/>
      </c>
      <c r="CF34" s="202">
        <f>IFERROR(IF($H34+$I34=CF$33,$A34,(IF((CF$33&lt;$H34+$I34),(IF(CF$33&gt;$H34,$A34,"")),""))),"")</f>
        <v/>
      </c>
      <c r="CG34" s="202">
        <f>IFERROR(IF($H34+$I34=CG$33,$A34,(IF((CG$33&lt;$H34+$I34),(IF(CG$33&gt;$H34,$A34,"")),""))),"")</f>
        <v/>
      </c>
      <c r="CH34" s="202">
        <f>IFERROR(IF($H34+$I34=CH$33,$A34,(IF((CH$33&lt;$H34+$I34),(IF(CH$33&gt;$H34,$A34,"")),""))),"")</f>
        <v/>
      </c>
      <c r="CI34" s="202">
        <f>IFERROR(IF($H34+$I34=CI$33,$A34,(IF((CI$33&lt;$H34+$I34),(IF(CI$33&gt;$H34,$A34,"")),""))),"")</f>
        <v/>
      </c>
      <c r="CJ34" s="202">
        <f>IFERROR(IF($H34+$I34=CJ$33,$A34,(IF((CJ$33&lt;$H34+$I34),(IF(CJ$33&gt;$H34,$A34,"")),""))),"")</f>
        <v/>
      </c>
      <c r="CK34" s="202">
        <f>IFERROR(IF($H34+$I34=CK$33,$A34,(IF((CK$33&lt;$H34+$I34),(IF(CK$33&gt;$H34,$A34,"")),""))),"")</f>
        <v/>
      </c>
      <c r="CL34" s="202">
        <f>IFERROR(IF($H34+$I34=CL$33,$A34,(IF((CL$33&lt;$H34+$I34),(IF(CL$33&gt;$H34,$A34,"")),""))),"")</f>
        <v/>
      </c>
      <c r="CM34" s="202">
        <f>IFERROR(IF($H34+$I34=CM$33,$A34,(IF((CM$33&lt;$H34+$I34),(IF(CM$33&gt;$H34,$A34,"")),""))),"")</f>
        <v/>
      </c>
      <c r="CN34" s="202">
        <f>IFERROR(IF($H34+$I34=CN$33,$A34,(IF((CN$33&lt;$H34+$I34),(IF(CN$33&gt;$H34,$A34,"")),""))),"")</f>
        <v/>
      </c>
      <c r="CO34" s="202">
        <f>IFERROR(IF($H34+$I34=CO$33,$A34,(IF((CO$33&lt;$H34+$I34),(IF(CO$33&gt;$H34,$A34,"")),""))),"")</f>
        <v/>
      </c>
      <c r="CP34" s="202">
        <f>IFERROR(IF($H34+$I34=CP$33,$A34,(IF((CP$33&lt;$H34+$I34),(IF(CP$33&gt;$H34,$A34,"")),""))),"")</f>
        <v/>
      </c>
      <c r="CQ34" s="202">
        <f>IFERROR(IF($H34+$I34=CQ$33,$A34,(IF((CQ$33&lt;$H34+$I34),(IF(CQ$33&gt;$H34,$A34,"")),""))),"")</f>
        <v/>
      </c>
      <c r="CR34" s="202">
        <f>IFERROR(IF($H34+$I34=CR$33,$A34,(IF((CR$33&lt;$H34+$I34),(IF(CR$33&gt;$H34,$A34,"")),""))),"")</f>
        <v/>
      </c>
      <c r="CS34" s="202">
        <f>IFERROR(IF($H34+$I34=CS$33,$A34,(IF((CS$33&lt;$H34+$I34),(IF(CS$33&gt;$H34,$A34,"")),""))),"")</f>
        <v/>
      </c>
      <c r="CT34" s="202">
        <f>IFERROR(IF($H34+$I34=CT$33,$A34,(IF((CT$33&lt;$H34+$I34),(IF(CT$33&gt;$H34,$A34,"")),""))),"")</f>
        <v/>
      </c>
      <c r="CU34" s="202">
        <f>IFERROR(IF($H34+$I34=CU$33,$A34,(IF((CU$33&lt;$H34+$I34),(IF(CU$33&gt;$H34,$A34,"")),""))),"")</f>
        <v/>
      </c>
      <c r="CV34" s="202">
        <f>IFERROR(IF($H34+$I34=CV$33,$A34,(IF((CV$33&lt;$H34+$I34),(IF(CV$33&gt;$H34,$A34,"")),""))),"")</f>
        <v/>
      </c>
      <c r="CW34" s="202">
        <f>IFERROR(IF($H34+$I34=CW$33,$A34,(IF((CW$33&lt;$H34+$I34),(IF(CW$33&gt;$H34,$A34,"")),""))),"")</f>
        <v/>
      </c>
      <c r="CX34" s="202">
        <f>IFERROR(IF($H34+$I34=CX$33,$A34,(IF((CX$33&lt;$H34+$I34),(IF(CX$33&gt;$H34,$A34,"")),""))),"")</f>
        <v/>
      </c>
      <c r="CY34" s="202">
        <f>IFERROR(IF($H34+$I34=CY$33,$A34,(IF((CY$33&lt;$H34+$I34),(IF(CY$33&gt;$H34,$A34,"")),""))),"")</f>
        <v/>
      </c>
      <c r="CZ34" s="202">
        <f>IFERROR(IF($H34+$I34=CZ$33,$A34,(IF((CZ$33&lt;$H34+$I34),(IF(CZ$33&gt;$H34,$A34,"")),""))),"")</f>
        <v/>
      </c>
      <c r="DA34" s="41">
        <f>IFERROR(IF($H34+$I34=DA$33,$A34,(IF((DA$33&lt;$H34+$I34),(IF(DA$33&gt;$H34,$A34,"")),""))),"")</f>
        <v/>
      </c>
    </row>
    <row r="35" ht="14.4" customHeight="1">
      <c r="A35" s="32" t="n">
        <v>1</v>
      </c>
      <c r="B35" s="536" t="n"/>
      <c r="C35" s="542" t="n"/>
      <c r="D35" s="273" t="inlineStr">
        <is>
          <t xml:space="preserve">Solution Designing       </t>
        </is>
      </c>
      <c r="E35" s="30" t="n"/>
      <c r="F35" s="30" t="n"/>
      <c r="G35" s="219" t="inlineStr">
        <is>
          <t>FDS</t>
        </is>
      </c>
      <c r="H35" s="222">
        <f>H34+I34</f>
        <v/>
      </c>
      <c r="I35" s="252" t="n">
        <v>3</v>
      </c>
      <c r="J35" s="42">
        <f>IFERROR(IF($H35+$I35=J$33,$A35,(IF((J$33&lt;$H35+$I35),(IF(J$33&gt;$H35,$A35,"")),""))),"")</f>
        <v/>
      </c>
      <c r="K35" s="42">
        <f>IFERROR(IF($H35+$I35=K$33,$A35,(IF((K$33&lt;$H35+$I35),(IF(K$33&gt;$H35,$A35,"")),""))),"")</f>
        <v/>
      </c>
      <c r="L35" s="42">
        <f>IFERROR(IF($H35+$I35=L$33,$A35,(IF((L$33&lt;$H35+$I35),(IF(L$33&gt;$H35,$A35,"")),""))),"")</f>
        <v/>
      </c>
      <c r="M35" s="42">
        <f>IFERROR(IF($H35+$I35=M$33,$A35,(IF((M$33&lt;$H35+$I35),(IF(M$33&gt;$H35,$A35,"")),""))),"")</f>
        <v/>
      </c>
      <c r="N35" s="42">
        <f>IFERROR(IF($H35+$I35=N$33,$A35,(IF((N$33&lt;$H35+$I35),(IF(N$33&gt;$H35,$A35,"")),""))),"")</f>
        <v/>
      </c>
      <c r="O35" s="42">
        <f>IFERROR(IF($H35+$I35=O$33,$A35,(IF((O$33&lt;$H35+$I35),(IF(O$33&gt;$H35,$A35,"")),""))),"")</f>
        <v/>
      </c>
      <c r="P35" s="42">
        <f>IFERROR(IF($H35+$I35=P$33,$A35,(IF((P$33&lt;$H35+$I35),(IF(P$33&gt;$H35,$A35,"")),""))),"")</f>
        <v/>
      </c>
      <c r="Q35" s="42">
        <f>IFERROR(IF($H35+$I35=Q$33,$A35,(IF((Q$33&lt;$H35+$I35),(IF(Q$33&gt;$H35,$A35,"")),""))),"")</f>
        <v/>
      </c>
      <c r="R35" s="42">
        <f>IFERROR(IF($H35+$I35=R$33,$A35,(IF((R$33&lt;$H35+$I35),(IF(R$33&gt;$H35,$A35,"")),""))),"")</f>
        <v/>
      </c>
      <c r="S35" s="42">
        <f>IFERROR(IF($H35+$I35=S$33,$A35,(IF((S$33&lt;$H35+$I35),(IF(S$33&gt;$H35,$A35,"")),""))),"")</f>
        <v/>
      </c>
      <c r="T35" s="42">
        <f>IFERROR(IF($H35+$I35=T$33,$A35,(IF((T$33&lt;$H35+$I35),(IF(T$33&gt;$H35,$A35,"")),""))),"")</f>
        <v/>
      </c>
      <c r="U35" s="42">
        <f>IFERROR(IF($H35+$I35=U$33,$A35,(IF((U$33&lt;$H35+$I35),(IF(U$33&gt;$H35,$A35,"")),""))),"")</f>
        <v/>
      </c>
      <c r="V35" s="42">
        <f>IFERROR(IF($H35+$I35=V$33,$A35,(IF((V$33&lt;$H35+$I35),(IF(V$33&gt;$H35,$A35,"")),""))),"")</f>
        <v/>
      </c>
      <c r="W35" s="42">
        <f>IFERROR(IF($H35+$I35=W$33,$A35,(IF((W$33&lt;$H35+$I35),(IF(W$33&gt;$H35,$A35,"")),""))),"")</f>
        <v/>
      </c>
      <c r="X35" s="42">
        <f>IFERROR(IF($H35+$I35=X$33,$A35,(IF((X$33&lt;$H35+$I35),(IF(X$33&gt;$H35,$A35,"")),""))),"")</f>
        <v/>
      </c>
      <c r="Y35" s="42">
        <f>IFERROR(IF($H35+$I35=Y$33,$A35,(IF((Y$33&lt;$H35+$I35),(IF(Y$33&gt;$H35,$A35,"")),""))),"")</f>
        <v/>
      </c>
      <c r="Z35" s="42">
        <f>IFERROR(IF($H35+$I35=Z$33,$A35,(IF((Z$33&lt;$H35+$I35),(IF(Z$33&gt;$H35,$A35,"")),""))),"")</f>
        <v/>
      </c>
      <c r="AA35" s="42">
        <f>IFERROR(IF($H35+$I35=AA$33,$A35,(IF((AA$33&lt;$H35+$I35),(IF(AA$33&gt;$H35,$A35,"")),""))),"")</f>
        <v/>
      </c>
      <c r="AB35" s="42">
        <f>IFERROR(IF($H35+$I35=AB$33,$A35,(IF((AB$33&lt;$H35+$I35),(IF(AB$33&gt;$H35,$A35,"")),""))),"")</f>
        <v/>
      </c>
      <c r="AC35" s="42">
        <f>IFERROR(IF($H35+$I35=AC$33,$A35,(IF((AC$33&lt;$H35+$I35),(IF(AC$33&gt;$H35,$A35,"")),""))),"")</f>
        <v/>
      </c>
      <c r="AD35" s="42">
        <f>IFERROR(IF($H35+$I35=AD$33,$A35,(IF((AD$33&lt;$H35+$I35),(IF(AD$33&gt;$H35,$A35,"")),""))),"")</f>
        <v/>
      </c>
      <c r="AE35" s="42">
        <f>IFERROR(IF($H35+$I35=AE$33,$A35,(IF((AE$33&lt;$H35+$I35),(IF(AE$33&gt;$H35,$A35,"")),""))),"")</f>
        <v/>
      </c>
      <c r="AF35" s="42">
        <f>IFERROR(IF($H35+$I35=AF$33,$A35,(IF((AF$33&lt;$H35+$I35),(IF(AF$33&gt;$H35,$A35,"")),""))),"")</f>
        <v/>
      </c>
      <c r="AG35" s="42">
        <f>IFERROR(IF($H35+$I35=AG$33,$A35,(IF((AG$33&lt;$H35+$I35),(IF(AG$33&gt;$H35,$A35,"")),""))),"")</f>
        <v/>
      </c>
      <c r="AH35" s="42">
        <f>IFERROR(IF($H35+$I35=AH$33,$A35,(IF((AH$33&lt;$H35+$I35),(IF(AH$33&gt;$H35,$A35,"")),""))),"")</f>
        <v/>
      </c>
      <c r="AI35" s="42">
        <f>IFERROR(IF($H35+$I35=AI$33,$A35,(IF((AI$33&lt;$H35+$I35),(IF(AI$33&gt;$H35,$A35,"")),""))),"")</f>
        <v/>
      </c>
      <c r="AJ35" s="42">
        <f>IFERROR(IF($H35+$I35=AJ$33,$A35,(IF((AJ$33&lt;$H35+$I35),(IF(AJ$33&gt;$H35,$A35,"")),""))),"")</f>
        <v/>
      </c>
      <c r="AK35" s="42">
        <f>IFERROR(IF($H35+$I35=AK$33,$A35,(IF((AK$33&lt;$H35+$I35),(IF(AK$33&gt;$H35,$A35,"")),""))),"")</f>
        <v/>
      </c>
      <c r="AL35" s="42">
        <f>IFERROR(IF($H35+$I35=AL$33,$A35,(IF((AL$33&lt;$H35+$I35),(IF(AL$33&gt;$H35,$A35,"")),""))),"")</f>
        <v/>
      </c>
      <c r="AM35" s="42">
        <f>IFERROR(IF($H35+$I35=AM$33,$A35,(IF((AM$33&lt;$H35+$I35),(IF(AM$33&gt;$H35,$A35,"")),""))),"")</f>
        <v/>
      </c>
      <c r="AN35" s="42">
        <f>IFERROR(IF($H35+$I35=AN$33,$A35,(IF((AN$33&lt;$H35+$I35),(IF(AN$33&gt;$H35,$A35,"")),""))),"")</f>
        <v/>
      </c>
      <c r="AO35" s="42">
        <f>IFERROR(IF($H35+$I35=AO$33,$A35,(IF((AO$33&lt;$H35+$I35),(IF(AO$33&gt;$H35,$A35,"")),""))),"")</f>
        <v/>
      </c>
      <c r="AP35" s="42">
        <f>IFERROR(IF($H35+$I35=AP$33,$A35,(IF((AP$33&lt;$H35+$I35),(IF(AP$33&gt;$H35,$A35,"")),""))),"")</f>
        <v/>
      </c>
      <c r="AQ35" s="42">
        <f>IFERROR(IF($H35+$I35=AQ$33,$A35,(IF((AQ$33&lt;$H35+$I35),(IF(AQ$33&gt;$H35,$A35,"")),""))),"")</f>
        <v/>
      </c>
      <c r="AR35" s="42">
        <f>IFERROR(IF($H35+$I35=AR$33,$A35,(IF((AR$33&lt;$H35+$I35),(IF(AR$33&gt;$H35,$A35,"")),""))),"")</f>
        <v/>
      </c>
      <c r="AS35" s="42">
        <f>IFERROR(IF($H35+$I35=AS$33,$A35,(IF((AS$33&lt;$H35+$I35),(IF(AS$33&gt;$H35,$A35,"")),""))),"")</f>
        <v/>
      </c>
      <c r="AT35" s="42">
        <f>IFERROR(IF($H35+$I35=AT$33,$A35,(IF((AT$33&lt;$H35+$I35),(IF(AT$33&gt;$H35,$A35,"")),""))),"")</f>
        <v/>
      </c>
      <c r="AU35" s="42">
        <f>IFERROR(IF($H35+$I35=AU$33,$A35,(IF((AU$33&lt;$H35+$I35),(IF(AU$33&gt;$H35,$A35,"")),""))),"")</f>
        <v/>
      </c>
      <c r="AV35" s="42">
        <f>IFERROR(IF($H35+$I35=AV$33,$A35,(IF((AV$33&lt;$H35+$I35),(IF(AV$33&gt;$H35,$A35,"")),""))),"")</f>
        <v/>
      </c>
      <c r="AW35" s="42">
        <f>IFERROR(IF($H35+$I35=AW$33,$A35,(IF((AW$33&lt;$H35+$I35),(IF(AW$33&gt;$H35,$A35,"")),""))),"")</f>
        <v/>
      </c>
      <c r="AX35" s="42">
        <f>IFERROR(IF($H35+$I35=AX$33,$A35,(IF((AX$33&lt;$H35+$I35),(IF(AX$33&gt;$H35,$A35,"")),""))),"")</f>
        <v/>
      </c>
      <c r="AY35" s="42">
        <f>IFERROR(IF($H35+$I35=AY$33,$A35,(IF((AY$33&lt;$H35+$I35),(IF(AY$33&gt;$H35,$A35,"")),""))),"")</f>
        <v/>
      </c>
      <c r="AZ35" s="42">
        <f>IFERROR(IF($H35+$I35=AZ$33,$A35,(IF((AZ$33&lt;$H35+$I35),(IF(AZ$33&gt;$H35,$A35,"")),""))),"")</f>
        <v/>
      </c>
      <c r="BA35" s="42">
        <f>IFERROR(IF($H35+$I35=BA$33,$A35,(IF((BA$33&lt;$H35+$I35),(IF(BA$33&gt;$H35,$A35,"")),""))),"")</f>
        <v/>
      </c>
      <c r="BB35" s="42">
        <f>IFERROR(IF($H35+$I35=BB$33,$A35,(IF((BB$33&lt;$H35+$I35),(IF(BB$33&gt;$H35,$A35,"")),""))),"")</f>
        <v/>
      </c>
      <c r="BC35" s="42">
        <f>IFERROR(IF($H35+$I35=BC$33,$A35,(IF((BC$33&lt;$H35+$I35),(IF(BC$33&gt;$H35,$A35,"")),""))),"")</f>
        <v/>
      </c>
      <c r="BD35" s="42">
        <f>IFERROR(IF($H35+$I35=BD$33,$A35,(IF((BD$33&lt;$H35+$I35),(IF(BD$33&gt;$H35,$A35,"")),""))),"")</f>
        <v/>
      </c>
      <c r="BE35" s="154">
        <f>IFERROR(IF($H35+$I35=BE$33,$A35,(IF((BE$33&lt;$H35+$I35),(IF(BE$33&gt;$H35,$A35,"")),""))),"")</f>
        <v/>
      </c>
      <c r="BF35" s="42">
        <f>IFERROR(IF($H35+$I35=BF$33,$A35,(IF((BF$33&lt;$H35+$I35),(IF(BF$33&gt;$H35,$A35,"")),""))),"")</f>
        <v/>
      </c>
      <c r="BG35" s="42">
        <f>IFERROR(IF($H35+$I35=BG$33,$A35,(IF((BG$33&lt;$H35+$I35),(IF(BG$33&gt;$H35,$A35,"")),""))),"")</f>
        <v/>
      </c>
      <c r="BH35" s="42">
        <f>IFERROR(IF($H35+$I35=BH$33,$A35,(IF((BH$33&lt;$H35+$I35),(IF(BH$33&gt;$H35,$A35,"")),""))),"")</f>
        <v/>
      </c>
      <c r="BI35" s="42">
        <f>IFERROR(IF($H35+$I35=BI$33,$A35,(IF((BI$33&lt;$H35+$I35),(IF(BI$33&gt;$H35,$A35,"")),""))),"")</f>
        <v/>
      </c>
      <c r="BJ35" s="42">
        <f>IFERROR(IF($H35+$I35=BJ$33,$A35,(IF((BJ$33&lt;$H35+$I35),(IF(BJ$33&gt;$H35,$A35,"")),""))),"")</f>
        <v/>
      </c>
      <c r="BK35" s="42">
        <f>IFERROR(IF($H35+$I35=BK$33,$A35,(IF((BK$33&lt;$H35+$I35),(IF(BK$33&gt;$H35,$A35,"")),""))),"")</f>
        <v/>
      </c>
      <c r="BL35" s="42">
        <f>IFERROR(IF($H35+$I35=BL$33,$A35,(IF((BL$33&lt;$H35+$I35),(IF(BL$33&gt;$H35,$A35,"")),""))),"")</f>
        <v/>
      </c>
      <c r="BM35" s="42">
        <f>IFERROR(IF($H35+$I35=BM$33,$A35,(IF((BM$33&lt;$H35+$I35),(IF(BM$33&gt;$H35,$A35,"")),""))),"")</f>
        <v/>
      </c>
      <c r="BN35" s="42">
        <f>IFERROR(IF($H35+$I35=BN$33,$A35,(IF((BN$33&lt;$H35+$I35),(IF(BN$33&gt;$H35,$A35,"")),""))),"")</f>
        <v/>
      </c>
      <c r="BO35" s="42">
        <f>IFERROR(IF($H35+$I35=BO$33,$A35,(IF((BO$33&lt;$H35+$I35),(IF(BO$33&gt;$H35,$A35,"")),""))),"")</f>
        <v/>
      </c>
      <c r="BP35" s="42">
        <f>IFERROR(IF($H35+$I35=BP$33,$A35,(IF((BP$33&lt;$H35+$I35),(IF(BP$33&gt;$H35,$A35,"")),""))),"")</f>
        <v/>
      </c>
      <c r="BQ35" s="42">
        <f>IFERROR(IF($H35+$I35=BQ$33,$A35,(IF((BQ$33&lt;$H35+$I35),(IF(BQ$33&gt;$H35,$A35,"")),""))),"")</f>
        <v/>
      </c>
      <c r="BR35" s="42">
        <f>IFERROR(IF($H35+$I35=BR$33,$A35,(IF((BR$33&lt;$H35+$I35),(IF(BR$33&gt;$H35,$A35,"")),""))),"")</f>
        <v/>
      </c>
      <c r="BS35" s="42">
        <f>IFERROR(IF($H35+$I35=BS$33,$A35,(IF((BS$33&lt;$H35+$I35),(IF(BS$33&gt;$H35,$A35,"")),""))),"")</f>
        <v/>
      </c>
      <c r="BT35" s="42">
        <f>IFERROR(IF($H35+$I35=BT$33,$A35,(IF((BT$33&lt;$H35+$I35),(IF(BT$33&gt;$H35,$A35,"")),""))),"")</f>
        <v/>
      </c>
      <c r="BU35" s="42">
        <f>IFERROR(IF($H35+$I35=BU$33,$A35,(IF((BU$33&lt;$H35+$I35),(IF(BU$33&gt;$H35,$A35,"")),""))),"")</f>
        <v/>
      </c>
      <c r="BV35" s="42">
        <f>IFERROR(IF($H35+$I35=BV$33,$A35,(IF((BV$33&lt;$H35+$I35),(IF(BV$33&gt;$H35,$A35,"")),""))),"")</f>
        <v/>
      </c>
      <c r="BW35" s="42">
        <f>IFERROR(IF($H35+$I35=BW$33,$A35,(IF((BW$33&lt;$H35+$I35),(IF(BW$33&gt;$H35,$A35,"")),""))),"")</f>
        <v/>
      </c>
      <c r="BX35" s="42">
        <f>IFERROR(IF($H35+$I35=BX$33,$A35,(IF((BX$33&lt;$H35+$I35),(IF(BX$33&gt;$H35,$A35,"")),""))),"")</f>
        <v/>
      </c>
      <c r="BY35" s="42">
        <f>IFERROR(IF($H35+$I35=BY$33,$A35,(IF((BY$33&lt;$H35+$I35),(IF(BY$33&gt;$H35,$A35,"")),""))),"")</f>
        <v/>
      </c>
      <c r="BZ35" s="42">
        <f>IFERROR(IF($H35+$I35=BZ$33,$A35,(IF((BZ$33&lt;$H35+$I35),(IF(BZ$33&gt;$H35,$A35,"")),""))),"")</f>
        <v/>
      </c>
      <c r="CA35" s="42">
        <f>IFERROR(IF($H35+$I35=CA$33,$A35,(IF((CA$33&lt;$H35+$I35),(IF(CA$33&gt;$H35,$A35,"")),""))),"")</f>
        <v/>
      </c>
      <c r="CB35" s="42">
        <f>IFERROR(IF($H35+$I35=CB$33,$A35,(IF((CB$33&lt;$H35+$I35),(IF(CB$33&gt;$H35,$A35,"")),""))),"")</f>
        <v/>
      </c>
      <c r="CC35" s="42">
        <f>IFERROR(IF($H35+$I35=CC$33,$A35,(IF((CC$33&lt;$H35+$I35),(IF(CC$33&gt;$H35,$A35,"")),""))),"")</f>
        <v/>
      </c>
      <c r="CD35" s="42">
        <f>IFERROR(IF($H35+$I35=CD$33,$A35,(IF((CD$33&lt;$H35+$I35),(IF(CD$33&gt;$H35,$A35,"")),""))),"")</f>
        <v/>
      </c>
      <c r="CE35" s="42">
        <f>IFERROR(IF($H35+$I35=CE$33,$A35,(IF((CE$33&lt;$H35+$I35),(IF(CE$33&gt;$H35,$A35,"")),""))),"")</f>
        <v/>
      </c>
      <c r="CF35" s="42">
        <f>IFERROR(IF($H35+$I35=CF$33,$A35,(IF((CF$33&lt;$H35+$I35),(IF(CF$33&gt;$H35,$A35,"")),""))),"")</f>
        <v/>
      </c>
      <c r="CG35" s="42">
        <f>IFERROR(IF($H35+$I35=CG$33,$A35,(IF((CG$33&lt;$H35+$I35),(IF(CG$33&gt;$H35,$A35,"")),""))),"")</f>
        <v/>
      </c>
      <c r="CH35" s="42">
        <f>IFERROR(IF($H35+$I35=CH$33,$A35,(IF((CH$33&lt;$H35+$I35),(IF(CH$33&gt;$H35,$A35,"")),""))),"")</f>
        <v/>
      </c>
      <c r="CI35" s="42">
        <f>IFERROR(IF($H35+$I35=CI$33,$A35,(IF((CI$33&lt;$H35+$I35),(IF(CI$33&gt;$H35,$A35,"")),""))),"")</f>
        <v/>
      </c>
      <c r="CJ35" s="42">
        <f>IFERROR(IF($H35+$I35=CJ$33,$A35,(IF((CJ$33&lt;$H35+$I35),(IF(CJ$33&gt;$H35,$A35,"")),""))),"")</f>
        <v/>
      </c>
      <c r="CK35" s="42">
        <f>IFERROR(IF($H35+$I35=CK$33,$A35,(IF((CK$33&lt;$H35+$I35),(IF(CK$33&gt;$H35,$A35,"")),""))),"")</f>
        <v/>
      </c>
      <c r="CL35" s="42">
        <f>IFERROR(IF($H35+$I35=CL$33,$A35,(IF((CL$33&lt;$H35+$I35),(IF(CL$33&gt;$H35,$A35,"")),""))),"")</f>
        <v/>
      </c>
      <c r="CM35" s="42">
        <f>IFERROR(IF($H35+$I35=CM$33,$A35,(IF((CM$33&lt;$H35+$I35),(IF(CM$33&gt;$H35,$A35,"")),""))),"")</f>
        <v/>
      </c>
      <c r="CN35" s="42">
        <f>IFERROR(IF($H35+$I35=CN$33,$A35,(IF((CN$33&lt;$H35+$I35),(IF(CN$33&gt;$H35,$A35,"")),""))),"")</f>
        <v/>
      </c>
      <c r="CO35" s="42">
        <f>IFERROR(IF($H35+$I35=CO$33,$A35,(IF((CO$33&lt;$H35+$I35),(IF(CO$33&gt;$H35,$A35,"")),""))),"")</f>
        <v/>
      </c>
      <c r="CP35" s="42">
        <f>IFERROR(IF($H35+$I35=CP$33,$A35,(IF((CP$33&lt;$H35+$I35),(IF(CP$33&gt;$H35,$A35,"")),""))),"")</f>
        <v/>
      </c>
      <c r="CQ35" s="42">
        <f>IFERROR(IF($H35+$I35=CQ$33,$A35,(IF((CQ$33&lt;$H35+$I35),(IF(CQ$33&gt;$H35,$A35,"")),""))),"")</f>
        <v/>
      </c>
      <c r="CR35" s="42">
        <f>IFERROR(IF($H35+$I35=CR$33,$A35,(IF((CR$33&lt;$H35+$I35),(IF(CR$33&gt;$H35,$A35,"")),""))),"")</f>
        <v/>
      </c>
      <c r="CS35" s="42">
        <f>IFERROR(IF($H35+$I35=CS$33,$A35,(IF((CS$33&lt;$H35+$I35),(IF(CS$33&gt;$H35,$A35,"")),""))),"")</f>
        <v/>
      </c>
      <c r="CT35" s="42">
        <f>IFERROR(IF($H35+$I35=CT$33,$A35,(IF((CT$33&lt;$H35+$I35),(IF(CT$33&gt;$H35,$A35,"")),""))),"")</f>
        <v/>
      </c>
      <c r="CU35" s="42">
        <f>IFERROR(IF($H35+$I35=CU$33,$A35,(IF((CU$33&lt;$H35+$I35),(IF(CU$33&gt;$H35,$A35,"")),""))),"")</f>
        <v/>
      </c>
      <c r="CV35" s="42">
        <f>IFERROR(IF($H35+$I35=CV$33,$A35,(IF((CV$33&lt;$H35+$I35),(IF(CV$33&gt;$H35,$A35,"")),""))),"")</f>
        <v/>
      </c>
      <c r="CW35" s="42">
        <f>IFERROR(IF($H35+$I35=CW$33,$A35,(IF((CW$33&lt;$H35+$I35),(IF(CW$33&gt;$H35,$A35,"")),""))),"")</f>
        <v/>
      </c>
      <c r="CX35" s="42">
        <f>IFERROR(IF($H35+$I35=CX$33,$A35,(IF((CX$33&lt;$H35+$I35),(IF(CX$33&gt;$H35,$A35,"")),""))),"")</f>
        <v/>
      </c>
      <c r="CY35" s="42">
        <f>IFERROR(IF($H35+$I35=CY$33,$A35,(IF((CY$33&lt;$H35+$I35),(IF(CY$33&gt;$H35,$A35,"")),""))),"")</f>
        <v/>
      </c>
      <c r="CZ35" s="42">
        <f>IFERROR(IF($H35+$I35=CZ$33,$A35,(IF((CZ$33&lt;$H35+$I35),(IF(CZ$33&gt;$H35,$A35,"")),""))),"")</f>
        <v/>
      </c>
      <c r="DA35" s="43">
        <f>IFERROR(IF($H35+$I35=DA$33,$A35,(IF((DA$33&lt;$H35+$I35),(IF(DA$33&gt;$H35,$A35,"")),""))),"")</f>
        <v/>
      </c>
    </row>
    <row r="36" ht="14.4" customHeight="1">
      <c r="A36" s="32" t="n">
        <v>1</v>
      </c>
      <c r="B36" s="536" t="n"/>
      <c r="C36" s="542" t="n"/>
      <c r="D36" s="326" t="inlineStr">
        <is>
          <t xml:space="preserve">Interface Designing       </t>
        </is>
      </c>
      <c r="E36" s="543" t="n"/>
      <c r="F36" s="543" t="n"/>
      <c r="G36" s="220" t="inlineStr">
        <is>
          <t>ICD</t>
        </is>
      </c>
      <c r="H36" s="223">
        <f>H35+I35</f>
        <v/>
      </c>
      <c r="I36" s="253" t="n">
        <v>1</v>
      </c>
      <c r="J36" s="204">
        <f>IFERROR(IF($H36+$I36=J$33,$A36,(IF((J$33&lt;$H36+$I36),(IF(J$33&gt;$H36,$A36,"")),""))),"")</f>
        <v/>
      </c>
      <c r="K36" s="204">
        <f>IFERROR(IF($H36+$I36=K$33,$A36,(IF((K$33&lt;$H36+$I36),(IF(K$33&gt;$H36,$A36,"")),""))),"")</f>
        <v/>
      </c>
      <c r="L36" s="204">
        <f>IFERROR(IF($H36+$I36=L$33,$A36,(IF((L$33&lt;$H36+$I36),(IF(L$33&gt;$H36,$A36,"")),""))),"")</f>
        <v/>
      </c>
      <c r="M36" s="204">
        <f>IFERROR(IF($H36+$I36=M$33,$A36,(IF((M$33&lt;$H36+$I36),(IF(M$33&gt;$H36,$A36,"")),""))),"")</f>
        <v/>
      </c>
      <c r="N36" s="204">
        <f>IFERROR(IF($H36+$I36=N$33,$A36,(IF((N$33&lt;$H36+$I36),(IF(N$33&gt;$H36,$A36,"")),""))),"")</f>
        <v/>
      </c>
      <c r="O36" s="204">
        <f>IFERROR(IF($H36+$I36=O$33,$A36,(IF((O$33&lt;$H36+$I36),(IF(O$33&gt;$H36,$A36,"")),""))),"")</f>
        <v/>
      </c>
      <c r="P36" s="204">
        <f>IFERROR(IF($H36+$I36=P$33,$A36,(IF((P$33&lt;$H36+$I36),(IF(P$33&gt;$H36,$A36,"")),""))),"")</f>
        <v/>
      </c>
      <c r="Q36" s="204">
        <f>IFERROR(IF($H36+$I36=Q$33,$A36,(IF((Q$33&lt;$H36+$I36),(IF(Q$33&gt;$H36,$A36,"")),""))),"")</f>
        <v/>
      </c>
      <c r="R36" s="204">
        <f>IFERROR(IF($H36+$I36=R$33,$A36,(IF((R$33&lt;$H36+$I36),(IF(R$33&gt;$H36,$A36,"")),""))),"")</f>
        <v/>
      </c>
      <c r="S36" s="204">
        <f>IFERROR(IF($H36+$I36=S$33,$A36,(IF((S$33&lt;$H36+$I36),(IF(S$33&gt;$H36,$A36,"")),""))),"")</f>
        <v/>
      </c>
      <c r="T36" s="204">
        <f>IFERROR(IF($H36+$I36=T$33,$A36,(IF((T$33&lt;$H36+$I36),(IF(T$33&gt;$H36,$A36,"")),""))),"")</f>
        <v/>
      </c>
      <c r="U36" s="204">
        <f>IFERROR(IF($H36+$I36=U$33,$A36,(IF((U$33&lt;$H36+$I36),(IF(U$33&gt;$H36,$A36,"")),""))),"")</f>
        <v/>
      </c>
      <c r="V36" s="204">
        <f>IFERROR(IF($H36+$I36=V$33,$A36,(IF((V$33&lt;$H36+$I36),(IF(V$33&gt;$H36,$A36,"")),""))),"")</f>
        <v/>
      </c>
      <c r="W36" s="204">
        <f>IFERROR(IF($H36+$I36=W$33,$A36,(IF((W$33&lt;$H36+$I36),(IF(W$33&gt;$H36,$A36,"")),""))),"")</f>
        <v/>
      </c>
      <c r="X36" s="204">
        <f>IFERROR(IF($H36+$I36=X$33,$A36,(IF((X$33&lt;$H36+$I36),(IF(X$33&gt;$H36,$A36,"")),""))),"")</f>
        <v/>
      </c>
      <c r="Y36" s="204">
        <f>IFERROR(IF($H36+$I36=Y$33,$A36,(IF((Y$33&lt;$H36+$I36),(IF(Y$33&gt;$H36,$A36,"")),""))),"")</f>
        <v/>
      </c>
      <c r="Z36" s="204">
        <f>IFERROR(IF($H36+$I36=Z$33,$A36,(IF((Z$33&lt;$H36+$I36),(IF(Z$33&gt;$H36,$A36,"")),""))),"")</f>
        <v/>
      </c>
      <c r="AA36" s="204">
        <f>IFERROR(IF($H36+$I36=AA$33,$A36,(IF((AA$33&lt;$H36+$I36),(IF(AA$33&gt;$H36,$A36,"")),""))),"")</f>
        <v/>
      </c>
      <c r="AB36" s="204">
        <f>IFERROR(IF($H36+$I36=AB$33,$A36,(IF((AB$33&lt;$H36+$I36),(IF(AB$33&gt;$H36,$A36,"")),""))),"")</f>
        <v/>
      </c>
      <c r="AC36" s="204">
        <f>IFERROR(IF($H36+$I36=AC$33,$A36,(IF((AC$33&lt;$H36+$I36),(IF(AC$33&gt;$H36,$A36,"")),""))),"")</f>
        <v/>
      </c>
      <c r="AD36" s="204">
        <f>IFERROR(IF($H36+$I36=AD$33,$A36,(IF((AD$33&lt;$H36+$I36),(IF(AD$33&gt;$H36,$A36,"")),""))),"")</f>
        <v/>
      </c>
      <c r="AE36" s="204">
        <f>IFERROR(IF($H36+$I36=AE$33,$A36,(IF((AE$33&lt;$H36+$I36),(IF(AE$33&gt;$H36,$A36,"")),""))),"")</f>
        <v/>
      </c>
      <c r="AF36" s="204">
        <f>IFERROR(IF($H36+$I36=AF$33,$A36,(IF((AF$33&lt;$H36+$I36),(IF(AF$33&gt;$H36,$A36,"")),""))),"")</f>
        <v/>
      </c>
      <c r="AG36" s="204">
        <f>IFERROR(IF($H36+$I36=AG$33,$A36,(IF((AG$33&lt;$H36+$I36),(IF(AG$33&gt;$H36,$A36,"")),""))),"")</f>
        <v/>
      </c>
      <c r="AH36" s="204">
        <f>IFERROR(IF($H36+$I36=AH$33,$A36,(IF((AH$33&lt;$H36+$I36),(IF(AH$33&gt;$H36,$A36,"")),""))),"")</f>
        <v/>
      </c>
      <c r="AI36" s="204">
        <f>IFERROR(IF($H36+$I36=AI$33,$A36,(IF((AI$33&lt;$H36+$I36),(IF(AI$33&gt;$H36,$A36,"")),""))),"")</f>
        <v/>
      </c>
      <c r="AJ36" s="204">
        <f>IFERROR(IF($H36+$I36=AJ$33,$A36,(IF((AJ$33&lt;$H36+$I36),(IF(AJ$33&gt;$H36,$A36,"")),""))),"")</f>
        <v/>
      </c>
      <c r="AK36" s="204">
        <f>IFERROR(IF($H36+$I36=AK$33,$A36,(IF((AK$33&lt;$H36+$I36),(IF(AK$33&gt;$H36,$A36,"")),""))),"")</f>
        <v/>
      </c>
      <c r="AL36" s="204">
        <f>IFERROR(IF($H36+$I36=AL$33,$A36,(IF((AL$33&lt;$H36+$I36),(IF(AL$33&gt;$H36,$A36,"")),""))),"")</f>
        <v/>
      </c>
      <c r="AM36" s="204">
        <f>IFERROR(IF($H36+$I36=AM$33,$A36,(IF((AM$33&lt;$H36+$I36),(IF(AM$33&gt;$H36,$A36,"")),""))),"")</f>
        <v/>
      </c>
      <c r="AN36" s="204">
        <f>IFERROR(IF($H36+$I36=AN$33,$A36,(IF((AN$33&lt;$H36+$I36),(IF(AN$33&gt;$H36,$A36,"")),""))),"")</f>
        <v/>
      </c>
      <c r="AO36" s="204">
        <f>IFERROR(IF($H36+$I36=AO$33,$A36,(IF((AO$33&lt;$H36+$I36),(IF(AO$33&gt;$H36,$A36,"")),""))),"")</f>
        <v/>
      </c>
      <c r="AP36" s="204">
        <f>IFERROR(IF($H36+$I36=AP$33,$A36,(IF((AP$33&lt;$H36+$I36),(IF(AP$33&gt;$H36,$A36,"")),""))),"")</f>
        <v/>
      </c>
      <c r="AQ36" s="204">
        <f>IFERROR(IF($H36+$I36=AQ$33,$A36,(IF((AQ$33&lt;$H36+$I36),(IF(AQ$33&gt;$H36,$A36,"")),""))),"")</f>
        <v/>
      </c>
      <c r="AR36" s="204">
        <f>IFERROR(IF($H36+$I36=AR$33,$A36,(IF((AR$33&lt;$H36+$I36),(IF(AR$33&gt;$H36,$A36,"")),""))),"")</f>
        <v/>
      </c>
      <c r="AS36" s="204">
        <f>IFERROR(IF($H36+$I36=AS$33,$A36,(IF((AS$33&lt;$H36+$I36),(IF(AS$33&gt;$H36,$A36,"")),""))),"")</f>
        <v/>
      </c>
      <c r="AT36" s="204">
        <f>IFERROR(IF($H36+$I36=AT$33,$A36,(IF((AT$33&lt;$H36+$I36),(IF(AT$33&gt;$H36,$A36,"")),""))),"")</f>
        <v/>
      </c>
      <c r="AU36" s="204">
        <f>IFERROR(IF($H36+$I36=AU$33,$A36,(IF((AU$33&lt;$H36+$I36),(IF(AU$33&gt;$H36,$A36,"")),""))),"")</f>
        <v/>
      </c>
      <c r="AV36" s="204">
        <f>IFERROR(IF($H36+$I36=AV$33,$A36,(IF((AV$33&lt;$H36+$I36),(IF(AV$33&gt;$H36,$A36,"")),""))),"")</f>
        <v/>
      </c>
      <c r="AW36" s="204">
        <f>IFERROR(IF($H36+$I36=AW$33,$A36,(IF((AW$33&lt;$H36+$I36),(IF(AW$33&gt;$H36,$A36,"")),""))),"")</f>
        <v/>
      </c>
      <c r="AX36" s="204">
        <f>IFERROR(IF($H36+$I36=AX$33,$A36,(IF((AX$33&lt;$H36+$I36),(IF(AX$33&gt;$H36,$A36,"")),""))),"")</f>
        <v/>
      </c>
      <c r="AY36" s="204">
        <f>IFERROR(IF($H36+$I36=AY$33,$A36,(IF((AY$33&lt;$H36+$I36),(IF(AY$33&gt;$H36,$A36,"")),""))),"")</f>
        <v/>
      </c>
      <c r="AZ36" s="204">
        <f>IFERROR(IF($H36+$I36=AZ$33,$A36,(IF((AZ$33&lt;$H36+$I36),(IF(AZ$33&gt;$H36,$A36,"")),""))),"")</f>
        <v/>
      </c>
      <c r="BA36" s="204">
        <f>IFERROR(IF($H36+$I36=BA$33,$A36,(IF((BA$33&lt;$H36+$I36),(IF(BA$33&gt;$H36,$A36,"")),""))),"")</f>
        <v/>
      </c>
      <c r="BB36" s="204">
        <f>IFERROR(IF($H36+$I36=BB$33,$A36,(IF((BB$33&lt;$H36+$I36),(IF(BB$33&gt;$H36,$A36,"")),""))),"")</f>
        <v/>
      </c>
      <c r="BC36" s="204">
        <f>IFERROR(IF($H36+$I36=BC$33,$A36,(IF((BC$33&lt;$H36+$I36),(IF(BC$33&gt;$H36,$A36,"")),""))),"")</f>
        <v/>
      </c>
      <c r="BD36" s="204">
        <f>IFERROR(IF($H36+$I36=BD$33,$A36,(IF((BD$33&lt;$H36+$I36),(IF(BD$33&gt;$H36,$A36,"")),""))),"")</f>
        <v/>
      </c>
      <c r="BE36" s="205">
        <f>IFERROR(IF($H36+$I36=BE$33,$A36,(IF((BE$33&lt;$H36+$I36),(IF(BE$33&gt;$H36,$A36,"")),""))),"")</f>
        <v/>
      </c>
      <c r="BF36" s="42">
        <f>IFERROR(IF($H36+$I36=BF$33,$A36,(IF((BF$33&lt;$H36+$I36),(IF(BF$33&gt;$H36,$A36,"")),""))),"")</f>
        <v/>
      </c>
      <c r="BG36" s="42">
        <f>IFERROR(IF($H36+$I36=BG$33,$A36,(IF((BG$33&lt;$H36+$I36),(IF(BG$33&gt;$H36,$A36,"")),""))),"")</f>
        <v/>
      </c>
      <c r="BH36" s="42">
        <f>IFERROR(IF($H36+$I36=BH$33,$A36,(IF((BH$33&lt;$H36+$I36),(IF(BH$33&gt;$H36,$A36,"")),""))),"")</f>
        <v/>
      </c>
      <c r="BI36" s="42">
        <f>IFERROR(IF($H36+$I36=BI$33,$A36,(IF((BI$33&lt;$H36+$I36),(IF(BI$33&gt;$H36,$A36,"")),""))),"")</f>
        <v/>
      </c>
      <c r="BJ36" s="42">
        <f>IFERROR(IF($H36+$I36=BJ$33,$A36,(IF((BJ$33&lt;$H36+$I36),(IF(BJ$33&gt;$H36,$A36,"")),""))),"")</f>
        <v/>
      </c>
      <c r="BK36" s="42">
        <f>IFERROR(IF($H36+$I36=BK$33,$A36,(IF((BK$33&lt;$H36+$I36),(IF(BK$33&gt;$H36,$A36,"")),""))),"")</f>
        <v/>
      </c>
      <c r="BL36" s="42">
        <f>IFERROR(IF($H36+$I36=BL$33,$A36,(IF((BL$33&lt;$H36+$I36),(IF(BL$33&gt;$H36,$A36,"")),""))),"")</f>
        <v/>
      </c>
      <c r="BM36" s="42">
        <f>IFERROR(IF($H36+$I36=BM$33,$A36,(IF((BM$33&lt;$H36+$I36),(IF(BM$33&gt;$H36,$A36,"")),""))),"")</f>
        <v/>
      </c>
      <c r="BN36" s="42">
        <f>IFERROR(IF($H36+$I36=BN$33,$A36,(IF((BN$33&lt;$H36+$I36),(IF(BN$33&gt;$H36,$A36,"")),""))),"")</f>
        <v/>
      </c>
      <c r="BO36" s="42">
        <f>IFERROR(IF($H36+$I36=BO$33,$A36,(IF((BO$33&lt;$H36+$I36),(IF(BO$33&gt;$H36,$A36,"")),""))),"")</f>
        <v/>
      </c>
      <c r="BP36" s="42">
        <f>IFERROR(IF($H36+$I36=BP$33,$A36,(IF((BP$33&lt;$H36+$I36),(IF(BP$33&gt;$H36,$A36,"")),""))),"")</f>
        <v/>
      </c>
      <c r="BQ36" s="42">
        <f>IFERROR(IF($H36+$I36=BQ$33,$A36,(IF((BQ$33&lt;$H36+$I36),(IF(BQ$33&gt;$H36,$A36,"")),""))),"")</f>
        <v/>
      </c>
      <c r="BR36" s="42">
        <f>IFERROR(IF($H36+$I36=BR$33,$A36,(IF((BR$33&lt;$H36+$I36),(IF(BR$33&gt;$H36,$A36,"")),""))),"")</f>
        <v/>
      </c>
      <c r="BS36" s="42">
        <f>IFERROR(IF($H36+$I36=BS$33,$A36,(IF((BS$33&lt;$H36+$I36),(IF(BS$33&gt;$H36,$A36,"")),""))),"")</f>
        <v/>
      </c>
      <c r="BT36" s="42">
        <f>IFERROR(IF($H36+$I36=BT$33,$A36,(IF((BT$33&lt;$H36+$I36),(IF(BT$33&gt;$H36,$A36,"")),""))),"")</f>
        <v/>
      </c>
      <c r="BU36" s="42">
        <f>IFERROR(IF($H36+$I36=BU$33,$A36,(IF((BU$33&lt;$H36+$I36),(IF(BU$33&gt;$H36,$A36,"")),""))),"")</f>
        <v/>
      </c>
      <c r="BV36" s="42">
        <f>IFERROR(IF($H36+$I36=BV$33,$A36,(IF((BV$33&lt;$H36+$I36),(IF(BV$33&gt;$H36,$A36,"")),""))),"")</f>
        <v/>
      </c>
      <c r="BW36" s="42">
        <f>IFERROR(IF($H36+$I36=BW$33,$A36,(IF((BW$33&lt;$H36+$I36),(IF(BW$33&gt;$H36,$A36,"")),""))),"")</f>
        <v/>
      </c>
      <c r="BX36" s="42">
        <f>IFERROR(IF($H36+$I36=BX$33,$A36,(IF((BX$33&lt;$H36+$I36),(IF(BX$33&gt;$H36,$A36,"")),""))),"")</f>
        <v/>
      </c>
      <c r="BY36" s="42">
        <f>IFERROR(IF($H36+$I36=BY$33,$A36,(IF((BY$33&lt;$H36+$I36),(IF(BY$33&gt;$H36,$A36,"")),""))),"")</f>
        <v/>
      </c>
      <c r="BZ36" s="42">
        <f>IFERROR(IF($H36+$I36=BZ$33,$A36,(IF((BZ$33&lt;$H36+$I36),(IF(BZ$33&gt;$H36,$A36,"")),""))),"")</f>
        <v/>
      </c>
      <c r="CA36" s="42">
        <f>IFERROR(IF($H36+$I36=CA$33,$A36,(IF((CA$33&lt;$H36+$I36),(IF(CA$33&gt;$H36,$A36,"")),""))),"")</f>
        <v/>
      </c>
      <c r="CB36" s="42">
        <f>IFERROR(IF($H36+$I36=CB$33,$A36,(IF((CB$33&lt;$H36+$I36),(IF(CB$33&gt;$H36,$A36,"")),""))),"")</f>
        <v/>
      </c>
      <c r="CC36" s="42">
        <f>IFERROR(IF($H36+$I36=CC$33,$A36,(IF((CC$33&lt;$H36+$I36),(IF(CC$33&gt;$H36,$A36,"")),""))),"")</f>
        <v/>
      </c>
      <c r="CD36" s="42">
        <f>IFERROR(IF($H36+$I36=CD$33,$A36,(IF((CD$33&lt;$H36+$I36),(IF(CD$33&gt;$H36,$A36,"")),""))),"")</f>
        <v/>
      </c>
      <c r="CE36" s="42">
        <f>IFERROR(IF($H36+$I36=CE$33,$A36,(IF((CE$33&lt;$H36+$I36),(IF(CE$33&gt;$H36,$A36,"")),""))),"")</f>
        <v/>
      </c>
      <c r="CF36" s="42">
        <f>IFERROR(IF($H36+$I36=CF$33,$A36,(IF((CF$33&lt;$H36+$I36),(IF(CF$33&gt;$H36,$A36,"")),""))),"")</f>
        <v/>
      </c>
      <c r="CG36" s="42">
        <f>IFERROR(IF($H36+$I36=CG$33,$A36,(IF((CG$33&lt;$H36+$I36),(IF(CG$33&gt;$H36,$A36,"")),""))),"")</f>
        <v/>
      </c>
      <c r="CH36" s="42">
        <f>IFERROR(IF($H36+$I36=CH$33,$A36,(IF((CH$33&lt;$H36+$I36),(IF(CH$33&gt;$H36,$A36,"")),""))),"")</f>
        <v/>
      </c>
      <c r="CI36" s="42">
        <f>IFERROR(IF($H36+$I36=CI$33,$A36,(IF((CI$33&lt;$H36+$I36),(IF(CI$33&gt;$H36,$A36,"")),""))),"")</f>
        <v/>
      </c>
      <c r="CJ36" s="42">
        <f>IFERROR(IF($H36+$I36=CJ$33,$A36,(IF((CJ$33&lt;$H36+$I36),(IF(CJ$33&gt;$H36,$A36,"")),""))),"")</f>
        <v/>
      </c>
      <c r="CK36" s="42">
        <f>IFERROR(IF($H36+$I36=CK$33,$A36,(IF((CK$33&lt;$H36+$I36),(IF(CK$33&gt;$H36,$A36,"")),""))),"")</f>
        <v/>
      </c>
      <c r="CL36" s="42">
        <f>IFERROR(IF($H36+$I36=CL$33,$A36,(IF((CL$33&lt;$H36+$I36),(IF(CL$33&gt;$H36,$A36,"")),""))),"")</f>
        <v/>
      </c>
      <c r="CM36" s="42">
        <f>IFERROR(IF($H36+$I36=CM$33,$A36,(IF((CM$33&lt;$H36+$I36),(IF(CM$33&gt;$H36,$A36,"")),""))),"")</f>
        <v/>
      </c>
      <c r="CN36" s="42">
        <f>IFERROR(IF($H36+$I36=CN$33,$A36,(IF((CN$33&lt;$H36+$I36),(IF(CN$33&gt;$H36,$A36,"")),""))),"")</f>
        <v/>
      </c>
      <c r="CO36" s="42">
        <f>IFERROR(IF($H36+$I36=CO$33,$A36,(IF((CO$33&lt;$H36+$I36),(IF(CO$33&gt;$H36,$A36,"")),""))),"")</f>
        <v/>
      </c>
      <c r="CP36" s="42">
        <f>IFERROR(IF($H36+$I36=CP$33,$A36,(IF((CP$33&lt;$H36+$I36),(IF(CP$33&gt;$H36,$A36,"")),""))),"")</f>
        <v/>
      </c>
      <c r="CQ36" s="42">
        <f>IFERROR(IF($H36+$I36=CQ$33,$A36,(IF((CQ$33&lt;$H36+$I36),(IF(CQ$33&gt;$H36,$A36,"")),""))),"")</f>
        <v/>
      </c>
      <c r="CR36" s="42">
        <f>IFERROR(IF($H36+$I36=CR$33,$A36,(IF((CR$33&lt;$H36+$I36),(IF(CR$33&gt;$H36,$A36,"")),""))),"")</f>
        <v/>
      </c>
      <c r="CS36" s="42">
        <f>IFERROR(IF($H36+$I36=CS$33,$A36,(IF((CS$33&lt;$H36+$I36),(IF(CS$33&gt;$H36,$A36,"")),""))),"")</f>
        <v/>
      </c>
      <c r="CT36" s="42">
        <f>IFERROR(IF($H36+$I36=CT$33,$A36,(IF((CT$33&lt;$H36+$I36),(IF(CT$33&gt;$H36,$A36,"")),""))),"")</f>
        <v/>
      </c>
      <c r="CU36" s="42">
        <f>IFERROR(IF($H36+$I36=CU$33,$A36,(IF((CU$33&lt;$H36+$I36),(IF(CU$33&gt;$H36,$A36,"")),""))),"")</f>
        <v/>
      </c>
      <c r="CV36" s="42">
        <f>IFERROR(IF($H36+$I36=CV$33,$A36,(IF((CV$33&lt;$H36+$I36),(IF(CV$33&gt;$H36,$A36,"")),""))),"")</f>
        <v/>
      </c>
      <c r="CW36" s="42">
        <f>IFERROR(IF($H36+$I36=CW$33,$A36,(IF((CW$33&lt;$H36+$I36),(IF(CW$33&gt;$H36,$A36,"")),""))),"")</f>
        <v/>
      </c>
      <c r="CX36" s="42">
        <f>IFERROR(IF($H36+$I36=CX$33,$A36,(IF((CX$33&lt;$H36+$I36),(IF(CX$33&gt;$H36,$A36,"")),""))),"")</f>
        <v/>
      </c>
      <c r="CY36" s="42">
        <f>IFERROR(IF($H36+$I36=CY$33,$A36,(IF((CY$33&lt;$H36+$I36),(IF(CY$33&gt;$H36,$A36,"")),""))),"")</f>
        <v/>
      </c>
      <c r="CZ36" s="42">
        <f>IFERROR(IF($H36+$I36=CZ$33,$A36,(IF((CZ$33&lt;$H36+$I36),(IF(CZ$33&gt;$H36,$A36,"")),""))),"")</f>
        <v/>
      </c>
      <c r="DA36" s="43">
        <f>IFERROR(IF($H36+$I36=DA$33,$A36,(IF((DA$33&lt;$H36+$I36),(IF(DA$33&gt;$H36,$A36,"")),""))),"")</f>
        <v/>
      </c>
    </row>
    <row r="37" ht="14.4" customFormat="1" customHeight="1" s="196">
      <c r="A37" s="32" t="n">
        <v>2</v>
      </c>
      <c r="B37" s="536" t="n"/>
      <c r="C37" s="542" t="n"/>
      <c r="D37" s="328" t="inlineStr">
        <is>
          <t xml:space="preserve">Solution Development     </t>
        </is>
      </c>
      <c r="E37" s="466" t="n"/>
      <c r="F37" s="466" t="n"/>
      <c r="G37" s="217" t="inlineStr">
        <is>
          <t xml:space="preserve"> [DEMO]</t>
        </is>
      </c>
      <c r="H37" s="221">
        <f>H36+I36</f>
        <v/>
      </c>
      <c r="I37" s="254" t="n">
        <v>8</v>
      </c>
      <c r="J37" s="202">
        <f>IFERROR(IF($H37+$I37=J$33,$A37,(IF((J$33&lt;$H37+$I37),(IF(J$33&gt;$H37,$A37,"")),""))),"")</f>
        <v/>
      </c>
      <c r="K37" s="202">
        <f>IFERROR(IF($H37+$I37=K$33,$A37,(IF((K$33&lt;$H37+$I37),(IF(K$33&gt;$H37,$A37,"")),""))),"")</f>
        <v/>
      </c>
      <c r="L37" s="202">
        <f>IFERROR(IF($H37+$I37=L$33,$A37,(IF((L$33&lt;$H37+$I37),(IF(L$33&gt;$H37,$A37,"")),""))),"")</f>
        <v/>
      </c>
      <c r="M37" s="202">
        <f>IFERROR(IF($H37+$I37=M$33,$A37,(IF((M$33&lt;$H37+$I37),(IF(M$33&gt;$H37,$A37,"")),""))),"")</f>
        <v/>
      </c>
      <c r="N37" s="202">
        <f>IFERROR(IF($H37+$I37=N$33,$A37,(IF((N$33&lt;$H37+$I37),(IF(N$33&gt;$H37,$A37,"")),""))),"")</f>
        <v/>
      </c>
      <c r="O37" s="202">
        <f>IFERROR(IF($H37+$I37=O$33,$A37,(IF((O$33&lt;$H37+$I37),(IF(O$33&gt;$H37,$A37,"")),""))),"")</f>
        <v/>
      </c>
      <c r="P37" s="202">
        <f>IFERROR(IF($H37+$I37=P$33,$A37,(IF((P$33&lt;$H37+$I37),(IF(P$33&gt;$H37,$A37,"")),""))),"")</f>
        <v/>
      </c>
      <c r="Q37" s="202">
        <f>IFERROR(IF($H37+$I37=Q$33,$A37,(IF((Q$33&lt;$H37+$I37),(IF(Q$33&gt;$H37,$A37,"")),""))),"")</f>
        <v/>
      </c>
      <c r="R37" s="202">
        <f>IFERROR(IF($H37+$I37=R$33,$A37,(IF((R$33&lt;$H37+$I37),(IF(R$33&gt;$H37,$A37,"")),""))),"")</f>
        <v/>
      </c>
      <c r="S37" s="202">
        <f>IFERROR(IF($H37+$I37=S$33,$A37,(IF((S$33&lt;$H37+$I37),(IF(S$33&gt;$H37,$A37,"")),""))),"")</f>
        <v/>
      </c>
      <c r="T37" s="202">
        <f>IFERROR(IF($H37+$I37=T$33,$A37,(IF((T$33&lt;$H37+$I37),(IF(T$33&gt;$H37,$A37,"")),""))),"")</f>
        <v/>
      </c>
      <c r="U37" s="202">
        <f>IFERROR(IF($H37+$I37=U$33,$A37,(IF((U$33&lt;$H37+$I37),(IF(U$33&gt;$H37,$A37,"")),""))),"")</f>
        <v/>
      </c>
      <c r="V37" s="202">
        <f>IFERROR(IF($H37+$I37=V$33,$A37,(IF((V$33&lt;$H37+$I37),(IF(V$33&gt;$H37,$A37,"")),""))),"")</f>
        <v/>
      </c>
      <c r="W37" s="202">
        <f>IFERROR(IF($H37+$I37=W$33,$A37,(IF((W$33&lt;$H37+$I37),(IF(W$33&gt;$H37,$A37,"")),""))),"")</f>
        <v/>
      </c>
      <c r="X37" s="202">
        <f>IFERROR(IF($H37+$I37=X$33,$A37,(IF((X$33&lt;$H37+$I37),(IF(X$33&gt;$H37,$A37,"")),""))),"")</f>
        <v/>
      </c>
      <c r="Y37" s="202">
        <f>IFERROR(IF($H37+$I37=Y$33,$A37,(IF((Y$33&lt;$H37+$I37),(IF(Y$33&gt;$H37,$A37,"")),""))),"")</f>
        <v/>
      </c>
      <c r="Z37" s="202">
        <f>IFERROR(IF($H37+$I37=Z$33,$A37,(IF((Z$33&lt;$H37+$I37),(IF(Z$33&gt;$H37,$A37,"")),""))),"")</f>
        <v/>
      </c>
      <c r="AA37" s="202">
        <f>IFERROR(IF($H37+$I37=AA$33,$A37,(IF((AA$33&lt;$H37+$I37),(IF(AA$33&gt;$H37,$A37,"")),""))),"")</f>
        <v/>
      </c>
      <c r="AB37" s="202">
        <f>IFERROR(IF($H37+$I37=AB$33,$A37,(IF((AB$33&lt;$H37+$I37),(IF(AB$33&gt;$H37,$A37,"")),""))),"")</f>
        <v/>
      </c>
      <c r="AC37" s="202">
        <f>IFERROR(IF($H37+$I37=AC$33,$A37,(IF((AC$33&lt;$H37+$I37),(IF(AC$33&gt;$H37,$A37,"")),""))),"")</f>
        <v/>
      </c>
      <c r="AD37" s="202">
        <f>IFERROR(IF($H37+$I37=AD$33,$A37,(IF((AD$33&lt;$H37+$I37),(IF(AD$33&gt;$H37,$A37,"")),""))),"")</f>
        <v/>
      </c>
      <c r="AE37" s="202">
        <f>IFERROR(IF($H37+$I37=AE$33,$A37,(IF((AE$33&lt;$H37+$I37),(IF(AE$33&gt;$H37,$A37,"")),""))),"")</f>
        <v/>
      </c>
      <c r="AF37" s="202">
        <f>IFERROR(IF($H37+$I37=AF$33,$A37,(IF((AF$33&lt;$H37+$I37),(IF(AF$33&gt;$H37,$A37,"")),""))),"")</f>
        <v/>
      </c>
      <c r="AG37" s="202">
        <f>IFERROR(IF($H37+$I37=AG$33,$A37,(IF((AG$33&lt;$H37+$I37),(IF(AG$33&gt;$H37,$A37,"")),""))),"")</f>
        <v/>
      </c>
      <c r="AH37" s="202">
        <f>IFERROR(IF($H37+$I37=AH$33,$A37,(IF((AH$33&lt;$H37+$I37),(IF(AH$33&gt;$H37,$A37,"")),""))),"")</f>
        <v/>
      </c>
      <c r="AI37" s="202">
        <f>IFERROR(IF($H37+$I37=AI$33,$A37,(IF((AI$33&lt;$H37+$I37),(IF(AI$33&gt;$H37,$A37,"")),""))),"")</f>
        <v/>
      </c>
      <c r="AJ37" s="202">
        <f>IFERROR(IF($H37+$I37=AJ$33,$A37,(IF((AJ$33&lt;$H37+$I37),(IF(AJ$33&gt;$H37,$A37,"")),""))),"")</f>
        <v/>
      </c>
      <c r="AK37" s="202">
        <f>IFERROR(IF($H37+$I37=AK$33,$A37,(IF((AK$33&lt;$H37+$I37),(IF(AK$33&gt;$H37,$A37,"")),""))),"")</f>
        <v/>
      </c>
      <c r="AL37" s="202">
        <f>IFERROR(IF($H37+$I37=AL$33,$A37,(IF((AL$33&lt;$H37+$I37),(IF(AL$33&gt;$H37,$A37,"")),""))),"")</f>
        <v/>
      </c>
      <c r="AM37" s="202">
        <f>IFERROR(IF($H37+$I37=AM$33,$A37,(IF((AM$33&lt;$H37+$I37),(IF(AM$33&gt;$H37,$A37,"")),""))),"")</f>
        <v/>
      </c>
      <c r="AN37" s="202">
        <f>IFERROR(IF($H37+$I37=AN$33,$A37,(IF((AN$33&lt;$H37+$I37),(IF(AN$33&gt;$H37,$A37,"")),""))),"")</f>
        <v/>
      </c>
      <c r="AO37" s="202">
        <f>IFERROR(IF($H37+$I37=AO$33,$A37,(IF((AO$33&lt;$H37+$I37),(IF(AO$33&gt;$H37,$A37,"")),""))),"")</f>
        <v/>
      </c>
      <c r="AP37" s="202">
        <f>IFERROR(IF($H37+$I37=AP$33,$A37,(IF((AP$33&lt;$H37+$I37),(IF(AP$33&gt;$H37,$A37,"")),""))),"")</f>
        <v/>
      </c>
      <c r="AQ37" s="202">
        <f>IFERROR(IF($H37+$I37=AQ$33,$A37,(IF((AQ$33&lt;$H37+$I37),(IF(AQ$33&gt;$H37,$A37,"")),""))),"")</f>
        <v/>
      </c>
      <c r="AR37" s="202">
        <f>IFERROR(IF($H37+$I37=AR$33,$A37,(IF((AR$33&lt;$H37+$I37),(IF(AR$33&gt;$H37,$A37,"")),""))),"")</f>
        <v/>
      </c>
      <c r="AS37" s="202">
        <f>IFERROR(IF($H37+$I37=AS$33,$A37,(IF((AS$33&lt;$H37+$I37),(IF(AS$33&gt;$H37,$A37,"")),""))),"")</f>
        <v/>
      </c>
      <c r="AT37" s="202">
        <f>IFERROR(IF($H37+$I37=AT$33,$A37,(IF((AT$33&lt;$H37+$I37),(IF(AT$33&gt;$H37,$A37,"")),""))),"")</f>
        <v/>
      </c>
      <c r="AU37" s="202">
        <f>IFERROR(IF($H37+$I37=AU$33,$A37,(IF((AU$33&lt;$H37+$I37),(IF(AU$33&gt;$H37,$A37,"")),""))),"")</f>
        <v/>
      </c>
      <c r="AV37" s="202">
        <f>IFERROR(IF($H37+$I37=AV$33,$A37,(IF((AV$33&lt;$H37+$I37),(IF(AV$33&gt;$H37,$A37,"")),""))),"")</f>
        <v/>
      </c>
      <c r="AW37" s="202">
        <f>IFERROR(IF($H37+$I37=AW$33,$A37,(IF((AW$33&lt;$H37+$I37),(IF(AW$33&gt;$H37,$A37,"")),""))),"")</f>
        <v/>
      </c>
      <c r="AX37" s="202">
        <f>IFERROR(IF($H37+$I37=AX$33,$A37,(IF((AX$33&lt;$H37+$I37),(IF(AX$33&gt;$H37,$A37,"")),""))),"")</f>
        <v/>
      </c>
      <c r="AY37" s="202">
        <f>IFERROR(IF($H37+$I37=AY$33,$A37,(IF((AY$33&lt;$H37+$I37),(IF(AY$33&gt;$H37,$A37,"")),""))),"")</f>
        <v/>
      </c>
      <c r="AZ37" s="202">
        <f>IFERROR(IF($H37+$I37=AZ$33,$A37,(IF((AZ$33&lt;$H37+$I37),(IF(AZ$33&gt;$H37,$A37,"")),""))),"")</f>
        <v/>
      </c>
      <c r="BA37" s="202">
        <f>IFERROR(IF($H37+$I37=BA$33,$A37,(IF((BA$33&lt;$H37+$I37),(IF(BA$33&gt;$H37,$A37,"")),""))),"")</f>
        <v/>
      </c>
      <c r="BB37" s="202">
        <f>IFERROR(IF($H37+$I37=BB$33,$A37,(IF((BB$33&lt;$H37+$I37),(IF(BB$33&gt;$H37,$A37,"")),""))),"")</f>
        <v/>
      </c>
      <c r="BC37" s="202">
        <f>IFERROR(IF($H37+$I37=BC$33,$A37,(IF((BC$33&lt;$H37+$I37),(IF(BC$33&gt;$H37,$A37,"")),""))),"")</f>
        <v/>
      </c>
      <c r="BD37" s="202">
        <f>IFERROR(IF($H37+$I37=BD$33,$A37,(IF((BD$33&lt;$H37+$I37),(IF(BD$33&gt;$H37,$A37,"")),""))),"")</f>
        <v/>
      </c>
      <c r="BE37" s="203">
        <f>IFERROR(IF($H37+$I37=BE$33,$A37,(IF((BE$33&lt;$H37+$I37),(IF(BE$33&gt;$H37,$A37,"")),""))),"")</f>
        <v/>
      </c>
      <c r="BF37" s="202">
        <f>IFERROR(IF($H37+$I37=BF$33,$A37,(IF((BF$33&lt;$H37+$I37),(IF(BF$33&gt;$H37,$A37,"")),""))),"")</f>
        <v/>
      </c>
      <c r="BG37" s="202">
        <f>IFERROR(IF($H37+$I37=BG$33,$A37,(IF((BG$33&lt;$H37+$I37),(IF(BG$33&gt;$H37,$A37,"")),""))),"")</f>
        <v/>
      </c>
      <c r="BH37" s="202">
        <f>IFERROR(IF($H37+$I37=BH$33,$A37,(IF((BH$33&lt;$H37+$I37),(IF(BH$33&gt;$H37,$A37,"")),""))),"")</f>
        <v/>
      </c>
      <c r="BI37" s="202">
        <f>IFERROR(IF($H37+$I37=BI$33,$A37,(IF((BI$33&lt;$H37+$I37),(IF(BI$33&gt;$H37,$A37,"")),""))),"")</f>
        <v/>
      </c>
      <c r="BJ37" s="202">
        <f>IFERROR(IF($H37+$I37=BJ$33,$A37,(IF((BJ$33&lt;$H37+$I37),(IF(BJ$33&gt;$H37,$A37,"")),""))),"")</f>
        <v/>
      </c>
      <c r="BK37" s="202">
        <f>IFERROR(IF($H37+$I37=BK$33,$A37,(IF((BK$33&lt;$H37+$I37),(IF(BK$33&gt;$H37,$A37,"")),""))),"")</f>
        <v/>
      </c>
      <c r="BL37" s="202">
        <f>IFERROR(IF($H37+$I37=BL$33,$A37,(IF((BL$33&lt;$H37+$I37),(IF(BL$33&gt;$H37,$A37,"")),""))),"")</f>
        <v/>
      </c>
      <c r="BM37" s="202">
        <f>IFERROR(IF($H37+$I37=BM$33,$A37,(IF((BM$33&lt;$H37+$I37),(IF(BM$33&gt;$H37,$A37,"")),""))),"")</f>
        <v/>
      </c>
      <c r="BN37" s="202">
        <f>IFERROR(IF($H37+$I37=BN$33,$A37,(IF((BN$33&lt;$H37+$I37),(IF(BN$33&gt;$H37,$A37,"")),""))),"")</f>
        <v/>
      </c>
      <c r="BO37" s="202">
        <f>IFERROR(IF($H37+$I37=BO$33,$A37,(IF((BO$33&lt;$H37+$I37),(IF(BO$33&gt;$H37,$A37,"")),""))),"")</f>
        <v/>
      </c>
      <c r="BP37" s="202">
        <f>IFERROR(IF($H37+$I37=BP$33,$A37,(IF((BP$33&lt;$H37+$I37),(IF(BP$33&gt;$H37,$A37,"")),""))),"")</f>
        <v/>
      </c>
      <c r="BQ37" s="202">
        <f>IFERROR(IF($H37+$I37=BQ$33,$A37,(IF((BQ$33&lt;$H37+$I37),(IF(BQ$33&gt;$H37,$A37,"")),""))),"")</f>
        <v/>
      </c>
      <c r="BR37" s="202">
        <f>IFERROR(IF($H37+$I37=BR$33,$A37,(IF((BR$33&lt;$H37+$I37),(IF(BR$33&gt;$H37,$A37,"")),""))),"")</f>
        <v/>
      </c>
      <c r="BS37" s="202">
        <f>IFERROR(IF($H37+$I37=BS$33,$A37,(IF((BS$33&lt;$H37+$I37),(IF(BS$33&gt;$H37,$A37,"")),""))),"")</f>
        <v/>
      </c>
      <c r="BT37" s="202">
        <f>IFERROR(IF($H37+$I37=BT$33,$A37,(IF((BT$33&lt;$H37+$I37),(IF(BT$33&gt;$H37,$A37,"")),""))),"")</f>
        <v/>
      </c>
      <c r="BU37" s="202">
        <f>IFERROR(IF($H37+$I37=BU$33,$A37,(IF((BU$33&lt;$H37+$I37),(IF(BU$33&gt;$H37,$A37,"")),""))),"")</f>
        <v/>
      </c>
      <c r="BV37" s="202">
        <f>IFERROR(IF($H37+$I37=BV$33,$A37,(IF((BV$33&lt;$H37+$I37),(IF(BV$33&gt;$H37,$A37,"")),""))),"")</f>
        <v/>
      </c>
      <c r="BW37" s="202">
        <f>IFERROR(IF($H37+$I37=BW$33,$A37,(IF((BW$33&lt;$H37+$I37),(IF(BW$33&gt;$H37,$A37,"")),""))),"")</f>
        <v/>
      </c>
      <c r="BX37" s="202">
        <f>IFERROR(IF($H37+$I37=BX$33,$A37,(IF((BX$33&lt;$H37+$I37),(IF(BX$33&gt;$H37,$A37,"")),""))),"")</f>
        <v/>
      </c>
      <c r="BY37" s="202">
        <f>IFERROR(IF($H37+$I37=BY$33,$A37,(IF((BY$33&lt;$H37+$I37),(IF(BY$33&gt;$H37,$A37,"")),""))),"")</f>
        <v/>
      </c>
      <c r="BZ37" s="202">
        <f>IFERROR(IF($H37+$I37=BZ$33,$A37,(IF((BZ$33&lt;$H37+$I37),(IF(BZ$33&gt;$H37,$A37,"")),""))),"")</f>
        <v/>
      </c>
      <c r="CA37" s="202">
        <f>IFERROR(IF($H37+$I37=CA$33,$A37,(IF((CA$33&lt;$H37+$I37),(IF(CA$33&gt;$H37,$A37,"")),""))),"")</f>
        <v/>
      </c>
      <c r="CB37" s="202">
        <f>IFERROR(IF($H37+$I37=CB$33,$A37,(IF((CB$33&lt;$H37+$I37),(IF(CB$33&gt;$H37,$A37,"")),""))),"")</f>
        <v/>
      </c>
      <c r="CC37" s="202">
        <f>IFERROR(IF($H37+$I37=CC$33,$A37,(IF((CC$33&lt;$H37+$I37),(IF(CC$33&gt;$H37,$A37,"")),""))),"")</f>
        <v/>
      </c>
      <c r="CD37" s="202">
        <f>IFERROR(IF($H37+$I37=CD$33,$A37,(IF((CD$33&lt;$H37+$I37),(IF(CD$33&gt;$H37,$A37,"")),""))),"")</f>
        <v/>
      </c>
      <c r="CE37" s="202">
        <f>IFERROR(IF($H37+$I37=CE$33,$A37,(IF((CE$33&lt;$H37+$I37),(IF(CE$33&gt;$H37,$A37,"")),""))),"")</f>
        <v/>
      </c>
      <c r="CF37" s="202">
        <f>IFERROR(IF($H37+$I37=CF$33,$A37,(IF((CF$33&lt;$H37+$I37),(IF(CF$33&gt;$H37,$A37,"")),""))),"")</f>
        <v/>
      </c>
      <c r="CG37" s="202">
        <f>IFERROR(IF($H37+$I37=CG$33,$A37,(IF((CG$33&lt;$H37+$I37),(IF(CG$33&gt;$H37,$A37,"")),""))),"")</f>
        <v/>
      </c>
      <c r="CH37" s="202">
        <f>IFERROR(IF($H37+$I37=CH$33,$A37,(IF((CH$33&lt;$H37+$I37),(IF(CH$33&gt;$H37,$A37,"")),""))),"")</f>
        <v/>
      </c>
      <c r="CI37" s="202">
        <f>IFERROR(IF($H37+$I37=CI$33,$A37,(IF((CI$33&lt;$H37+$I37),(IF(CI$33&gt;$H37,$A37,"")),""))),"")</f>
        <v/>
      </c>
      <c r="CJ37" s="202">
        <f>IFERROR(IF($H37+$I37=CJ$33,$A37,(IF((CJ$33&lt;$H37+$I37),(IF(CJ$33&gt;$H37,$A37,"")),""))),"")</f>
        <v/>
      </c>
      <c r="CK37" s="202">
        <f>IFERROR(IF($H37+$I37=CK$33,$A37,(IF((CK$33&lt;$H37+$I37),(IF(CK$33&gt;$H37,$A37,"")),""))),"")</f>
        <v/>
      </c>
      <c r="CL37" s="202">
        <f>IFERROR(IF($H37+$I37=CL$33,$A37,(IF((CL$33&lt;$H37+$I37),(IF(CL$33&gt;$H37,$A37,"")),""))),"")</f>
        <v/>
      </c>
      <c r="CM37" s="202">
        <f>IFERROR(IF($H37+$I37=CM$33,$A37,(IF((CM$33&lt;$H37+$I37),(IF(CM$33&gt;$H37,$A37,"")),""))),"")</f>
        <v/>
      </c>
      <c r="CN37" s="202">
        <f>IFERROR(IF($H37+$I37=CN$33,$A37,(IF((CN$33&lt;$H37+$I37),(IF(CN$33&gt;$H37,$A37,"")),""))),"")</f>
        <v/>
      </c>
      <c r="CO37" s="202">
        <f>IFERROR(IF($H37+$I37=CO$33,$A37,(IF((CO$33&lt;$H37+$I37),(IF(CO$33&gt;$H37,$A37,"")),""))),"")</f>
        <v/>
      </c>
      <c r="CP37" s="202">
        <f>IFERROR(IF($H37+$I37=CP$33,$A37,(IF((CP$33&lt;$H37+$I37),(IF(CP$33&gt;$H37,$A37,"")),""))),"")</f>
        <v/>
      </c>
      <c r="CQ37" s="202">
        <f>IFERROR(IF($H37+$I37=CQ$33,$A37,(IF((CQ$33&lt;$H37+$I37),(IF(CQ$33&gt;$H37,$A37,"")),""))),"")</f>
        <v/>
      </c>
      <c r="CR37" s="202">
        <f>IFERROR(IF($H37+$I37=CR$33,$A37,(IF((CR$33&lt;$H37+$I37),(IF(CR$33&gt;$H37,$A37,"")),""))),"")</f>
        <v/>
      </c>
      <c r="CS37" s="202">
        <f>IFERROR(IF($H37+$I37=CS$33,$A37,(IF((CS$33&lt;$H37+$I37),(IF(CS$33&gt;$H37,$A37,"")),""))),"")</f>
        <v/>
      </c>
      <c r="CT37" s="202">
        <f>IFERROR(IF($H37+$I37=CT$33,$A37,(IF((CT$33&lt;$H37+$I37),(IF(CT$33&gt;$H37,$A37,"")),""))),"")</f>
        <v/>
      </c>
      <c r="CU37" s="202">
        <f>IFERROR(IF($H37+$I37=CU$33,$A37,(IF((CU$33&lt;$H37+$I37),(IF(CU$33&gt;$H37,$A37,"")),""))),"")</f>
        <v/>
      </c>
      <c r="CV37" s="202">
        <f>IFERROR(IF($H37+$I37=CV$33,$A37,(IF((CV$33&lt;$H37+$I37),(IF(CV$33&gt;$H37,$A37,"")),""))),"")</f>
        <v/>
      </c>
      <c r="CW37" s="202">
        <f>IFERROR(IF($H37+$I37=CW$33,$A37,(IF((CW$33&lt;$H37+$I37),(IF(CW$33&gt;$H37,$A37,"")),""))),"")</f>
        <v/>
      </c>
      <c r="CX37" s="202">
        <f>IFERROR(IF($H37+$I37=CX$33,$A37,(IF((CX$33&lt;$H37+$I37),(IF(CX$33&gt;$H37,$A37,"")),""))),"")</f>
        <v/>
      </c>
      <c r="CY37" s="202">
        <f>IFERROR(IF($H37+$I37=CY$33,$A37,(IF((CY$33&lt;$H37+$I37),(IF(CY$33&gt;$H37,$A37,"")),""))),"")</f>
        <v/>
      </c>
      <c r="CZ37" s="202">
        <f>IFERROR(IF($H37+$I37=CZ$33,$A37,(IF((CZ$33&lt;$H37+$I37),(IF(CZ$33&gt;$H37,$A37,"")),""))),"")</f>
        <v/>
      </c>
      <c r="DA37" s="206">
        <f>IFERROR(IF($H37+$I37=DA$33,$A37,(IF((DA$33&lt;$H37+$I37),(IF(DA$33&gt;$H37,$A37,"")),""))),"")</f>
        <v/>
      </c>
    </row>
    <row r="38" ht="14.4" customFormat="1" customHeight="1" s="197">
      <c r="A38" s="32" t="n">
        <v>2</v>
      </c>
      <c r="B38" s="536" t="n"/>
      <c r="C38" s="542" t="n"/>
      <c r="D38" s="326" t="inlineStr">
        <is>
          <t xml:space="preserve">System Integration Testing   </t>
        </is>
      </c>
      <c r="E38" s="543" t="n"/>
      <c r="F38" s="543" t="n"/>
      <c r="G38" s="220" t="inlineStr">
        <is>
          <t xml:space="preserve"> SIT</t>
        </is>
      </c>
      <c r="H38" s="223">
        <f>H37+I37</f>
        <v/>
      </c>
      <c r="I38" s="253" t="n">
        <v>2</v>
      </c>
      <c r="J38" s="204">
        <f>IFERROR(IF($H38+$I38=J$33,$A38,(IF((J$33&lt;$H38+$I38),(IF(J$33&gt;$H38,$A38,"")),""))),"")</f>
        <v/>
      </c>
      <c r="K38" s="204">
        <f>IFERROR(IF($H38+$I38=K$33,$A38,(IF((K$33&lt;$H38+$I38),(IF(K$33&gt;$H38,$A38,"")),""))),"")</f>
        <v/>
      </c>
      <c r="L38" s="204">
        <f>IFERROR(IF($H38+$I38=L$33,$A38,(IF((L$33&lt;$H38+$I38),(IF(L$33&gt;$H38,$A38,"")),""))),"")</f>
        <v/>
      </c>
      <c r="M38" s="204">
        <f>IFERROR(IF($H38+$I38=M$33,$A38,(IF((M$33&lt;$H38+$I38),(IF(M$33&gt;$H38,$A38,"")),""))),"")</f>
        <v/>
      </c>
      <c r="N38" s="204">
        <f>IFERROR(IF($H38+$I38=N$33,$A38,(IF((N$33&lt;$H38+$I38),(IF(N$33&gt;$H38,$A38,"")),""))),"")</f>
        <v/>
      </c>
      <c r="O38" s="204">
        <f>IFERROR(IF($H38+$I38=O$33,$A38,(IF((O$33&lt;$H38+$I38),(IF(O$33&gt;$H38,$A38,"")),""))),"")</f>
        <v/>
      </c>
      <c r="P38" s="204">
        <f>IFERROR(IF($H38+$I38=P$33,$A38,(IF((P$33&lt;$H38+$I38),(IF(P$33&gt;$H38,$A38,"")),""))),"")</f>
        <v/>
      </c>
      <c r="Q38" s="204">
        <f>IFERROR(IF($H38+$I38=Q$33,$A38,(IF((Q$33&lt;$H38+$I38),(IF(Q$33&gt;$H38,$A38,"")),""))),"")</f>
        <v/>
      </c>
      <c r="R38" s="204">
        <f>IFERROR(IF($H38+$I38=R$33,$A38,(IF((R$33&lt;$H38+$I38),(IF(R$33&gt;$H38,$A38,"")),""))),"")</f>
        <v/>
      </c>
      <c r="S38" s="204">
        <f>IFERROR(IF($H38+$I38=S$33,$A38,(IF((S$33&lt;$H38+$I38),(IF(S$33&gt;$H38,$A38,"")),""))),"")</f>
        <v/>
      </c>
      <c r="T38" s="204">
        <f>IFERROR(IF($H38+$I38=T$33,$A38,(IF((T$33&lt;$H38+$I38),(IF(T$33&gt;$H38,$A38,"")),""))),"")</f>
        <v/>
      </c>
      <c r="U38" s="204">
        <f>IFERROR(IF($H38+$I38=U$33,$A38,(IF((U$33&lt;$H38+$I38),(IF(U$33&gt;$H38,$A38,"")),""))),"")</f>
        <v/>
      </c>
      <c r="V38" s="204">
        <f>IFERROR(IF($H38+$I38=V$33,$A38,(IF((V$33&lt;$H38+$I38),(IF(V$33&gt;$H38,$A38,"")),""))),"")</f>
        <v/>
      </c>
      <c r="W38" s="204">
        <f>IFERROR(IF($H38+$I38=W$33,$A38,(IF((W$33&lt;$H38+$I38),(IF(W$33&gt;$H38,$A38,"")),""))),"")</f>
        <v/>
      </c>
      <c r="X38" s="204">
        <f>IFERROR(IF($H38+$I38=X$33,$A38,(IF((X$33&lt;$H38+$I38),(IF(X$33&gt;$H38,$A38,"")),""))),"")</f>
        <v/>
      </c>
      <c r="Y38" s="204">
        <f>IFERROR(IF($H38+$I38=Y$33,$A38,(IF((Y$33&lt;$H38+$I38),(IF(Y$33&gt;$H38,$A38,"")),""))),"")</f>
        <v/>
      </c>
      <c r="Z38" s="204">
        <f>IFERROR(IF($H38+$I38=Z$33,$A38,(IF((Z$33&lt;$H38+$I38),(IF(Z$33&gt;$H38,$A38,"")),""))),"")</f>
        <v/>
      </c>
      <c r="AA38" s="204">
        <f>IFERROR(IF($H38+$I38=AA$33,$A38,(IF((AA$33&lt;$H38+$I38),(IF(AA$33&gt;$H38,$A38,"")),""))),"")</f>
        <v/>
      </c>
      <c r="AB38" s="204">
        <f>IFERROR(IF($H38+$I38=AB$33,$A38,(IF((AB$33&lt;$H38+$I38),(IF(AB$33&gt;$H38,$A38,"")),""))),"")</f>
        <v/>
      </c>
      <c r="AC38" s="204">
        <f>IFERROR(IF($H38+$I38=AC$33,$A38,(IF((AC$33&lt;$H38+$I38),(IF(AC$33&gt;$H38,$A38,"")),""))),"")</f>
        <v/>
      </c>
      <c r="AD38" s="204">
        <f>IFERROR(IF($H38+$I38=AD$33,$A38,(IF((AD$33&lt;$H38+$I38),(IF(AD$33&gt;$H38,$A38,"")),""))),"")</f>
        <v/>
      </c>
      <c r="AE38" s="204">
        <f>IFERROR(IF($H38+$I38=AE$33,$A38,(IF((AE$33&lt;$H38+$I38),(IF(AE$33&gt;$H38,$A38,"")),""))),"")</f>
        <v/>
      </c>
      <c r="AF38" s="204">
        <f>IFERROR(IF($H38+$I38=AF$33,$A38,(IF((AF$33&lt;$H38+$I38),(IF(AF$33&gt;$H38,$A38,"")),""))),"")</f>
        <v/>
      </c>
      <c r="AG38" s="204">
        <f>IFERROR(IF($H38+$I38=AG$33,$A38,(IF((AG$33&lt;$H38+$I38),(IF(AG$33&gt;$H38,$A38,"")),""))),"")</f>
        <v/>
      </c>
      <c r="AH38" s="204">
        <f>IFERROR(IF($H38+$I38=AH$33,$A38,(IF((AH$33&lt;$H38+$I38),(IF(AH$33&gt;$H38,$A38,"")),""))),"")</f>
        <v/>
      </c>
      <c r="AI38" s="204">
        <f>IFERROR(IF($H38+$I38=AI$33,$A38,(IF((AI$33&lt;$H38+$I38),(IF(AI$33&gt;$H38,$A38,"")),""))),"")</f>
        <v/>
      </c>
      <c r="AJ38" s="204">
        <f>IFERROR(IF($H38+$I38=AJ$33,$A38,(IF((AJ$33&lt;$H38+$I38),(IF(AJ$33&gt;$H38,$A38,"")),""))),"")</f>
        <v/>
      </c>
      <c r="AK38" s="204">
        <f>IFERROR(IF($H38+$I38=AK$33,$A38,(IF((AK$33&lt;$H38+$I38),(IF(AK$33&gt;$H38,$A38,"")),""))),"")</f>
        <v/>
      </c>
      <c r="AL38" s="204">
        <f>IFERROR(IF($H38+$I38=AL$33,$A38,(IF((AL$33&lt;$H38+$I38),(IF(AL$33&gt;$H38,$A38,"")),""))),"")</f>
        <v/>
      </c>
      <c r="AM38" s="204">
        <f>IFERROR(IF($H38+$I38=AM$33,$A38,(IF((AM$33&lt;$H38+$I38),(IF(AM$33&gt;$H38,$A38,"")),""))),"")</f>
        <v/>
      </c>
      <c r="AN38" s="204">
        <f>IFERROR(IF($H38+$I38=AN$33,$A38,(IF((AN$33&lt;$H38+$I38),(IF(AN$33&gt;$H38,$A38,"")),""))),"")</f>
        <v/>
      </c>
      <c r="AO38" s="204">
        <f>IFERROR(IF($H38+$I38=AO$33,$A38,(IF((AO$33&lt;$H38+$I38),(IF(AO$33&gt;$H38,$A38,"")),""))),"")</f>
        <v/>
      </c>
      <c r="AP38" s="204">
        <f>IFERROR(IF($H38+$I38=AP$33,$A38,(IF((AP$33&lt;$H38+$I38),(IF(AP$33&gt;$H38,$A38,"")),""))),"")</f>
        <v/>
      </c>
      <c r="AQ38" s="204">
        <f>IFERROR(IF($H38+$I38=AQ$33,$A38,(IF((AQ$33&lt;$H38+$I38),(IF(AQ$33&gt;$H38,$A38,"")),""))),"")</f>
        <v/>
      </c>
      <c r="AR38" s="204">
        <f>IFERROR(IF($H38+$I38=AR$33,$A38,(IF((AR$33&lt;$H38+$I38),(IF(AR$33&gt;$H38,$A38,"")),""))),"")</f>
        <v/>
      </c>
      <c r="AS38" s="204">
        <f>IFERROR(IF($H38+$I38=AS$33,$A38,(IF((AS$33&lt;$H38+$I38),(IF(AS$33&gt;$H38,$A38,"")),""))),"")</f>
        <v/>
      </c>
      <c r="AT38" s="204">
        <f>IFERROR(IF($H38+$I38=AT$33,$A38,(IF((AT$33&lt;$H38+$I38),(IF(AT$33&gt;$H38,$A38,"")),""))),"")</f>
        <v/>
      </c>
      <c r="AU38" s="204">
        <f>IFERROR(IF($H38+$I38=AU$33,$A38,(IF((AU$33&lt;$H38+$I38),(IF(AU$33&gt;$H38,$A38,"")),""))),"")</f>
        <v/>
      </c>
      <c r="AV38" s="204">
        <f>IFERROR(IF($H38+$I38=AV$33,$A38,(IF((AV$33&lt;$H38+$I38),(IF(AV$33&gt;$H38,$A38,"")),""))),"")</f>
        <v/>
      </c>
      <c r="AW38" s="204">
        <f>IFERROR(IF($H38+$I38=AW$33,$A38,(IF((AW$33&lt;$H38+$I38),(IF(AW$33&gt;$H38,$A38,"")),""))),"")</f>
        <v/>
      </c>
      <c r="AX38" s="204">
        <f>IFERROR(IF($H38+$I38=AX$33,$A38,(IF((AX$33&lt;$H38+$I38),(IF(AX$33&gt;$H38,$A38,"")),""))),"")</f>
        <v/>
      </c>
      <c r="AY38" s="204">
        <f>IFERROR(IF($H38+$I38=AY$33,$A38,(IF((AY$33&lt;$H38+$I38),(IF(AY$33&gt;$H38,$A38,"")),""))),"")</f>
        <v/>
      </c>
      <c r="AZ38" s="204">
        <f>IFERROR(IF($H38+$I38=AZ$33,$A38,(IF((AZ$33&lt;$H38+$I38),(IF(AZ$33&gt;$H38,$A38,"")),""))),"")</f>
        <v/>
      </c>
      <c r="BA38" s="204">
        <f>IFERROR(IF($H38+$I38=BA$33,$A38,(IF((BA$33&lt;$H38+$I38),(IF(BA$33&gt;$H38,$A38,"")),""))),"")</f>
        <v/>
      </c>
      <c r="BB38" s="204">
        <f>IFERROR(IF($H38+$I38=BB$33,$A38,(IF((BB$33&lt;$H38+$I38),(IF(BB$33&gt;$H38,$A38,"")),""))),"")</f>
        <v/>
      </c>
      <c r="BC38" s="204">
        <f>IFERROR(IF($H38+$I38=BC$33,$A38,(IF((BC$33&lt;$H38+$I38),(IF(BC$33&gt;$H38,$A38,"")),""))),"")</f>
        <v/>
      </c>
      <c r="BD38" s="204">
        <f>IFERROR(IF($H38+$I38=BD$33,$A38,(IF((BD$33&lt;$H38+$I38),(IF(BD$33&gt;$H38,$A38,"")),""))),"")</f>
        <v/>
      </c>
      <c r="BE38" s="205">
        <f>IFERROR(IF($H38+$I38=BE$33,$A38,(IF((BE$33&lt;$H38+$I38),(IF(BE$33&gt;$H38,$A38,"")),""))),"")</f>
        <v/>
      </c>
      <c r="BF38" s="204">
        <f>IFERROR(IF($H38+$I38=BF$33,$A38,(IF((BF$33&lt;$H38+$I38),(IF(BF$33&gt;$H38,$A38,"")),""))),"")</f>
        <v/>
      </c>
      <c r="BG38" s="204">
        <f>IFERROR(IF($H38+$I38=BG$33,$A38,(IF((BG$33&lt;$H38+$I38),(IF(BG$33&gt;$H38,$A38,"")),""))),"")</f>
        <v/>
      </c>
      <c r="BH38" s="204">
        <f>IFERROR(IF($H38+$I38=BH$33,$A38,(IF((BH$33&lt;$H38+$I38),(IF(BH$33&gt;$H38,$A38,"")),""))),"")</f>
        <v/>
      </c>
      <c r="BI38" s="204">
        <f>IFERROR(IF($H38+$I38=BI$33,$A38,(IF((BI$33&lt;$H38+$I38),(IF(BI$33&gt;$H38,$A38,"")),""))),"")</f>
        <v/>
      </c>
      <c r="BJ38" s="204">
        <f>IFERROR(IF($H38+$I38=BJ$33,$A38,(IF((BJ$33&lt;$H38+$I38),(IF(BJ$33&gt;$H38,$A38,"")),""))),"")</f>
        <v/>
      </c>
      <c r="BK38" s="204">
        <f>IFERROR(IF($H38+$I38=BK$33,$A38,(IF((BK$33&lt;$H38+$I38),(IF(BK$33&gt;$H38,$A38,"")),""))),"")</f>
        <v/>
      </c>
      <c r="BL38" s="204">
        <f>IFERROR(IF($H38+$I38=BL$33,$A38,(IF((BL$33&lt;$H38+$I38),(IF(BL$33&gt;$H38,$A38,"")),""))),"")</f>
        <v/>
      </c>
      <c r="BM38" s="204">
        <f>IFERROR(IF($H38+$I38=BM$33,$A38,(IF((BM$33&lt;$H38+$I38),(IF(BM$33&gt;$H38,$A38,"")),""))),"")</f>
        <v/>
      </c>
      <c r="BN38" s="204">
        <f>IFERROR(IF($H38+$I38=BN$33,$A38,(IF((BN$33&lt;$H38+$I38),(IF(BN$33&gt;$H38,$A38,"")),""))),"")</f>
        <v/>
      </c>
      <c r="BO38" s="204">
        <f>IFERROR(IF($H38+$I38=BO$33,$A38,(IF((BO$33&lt;$H38+$I38),(IF(BO$33&gt;$H38,$A38,"")),""))),"")</f>
        <v/>
      </c>
      <c r="BP38" s="204">
        <f>IFERROR(IF($H38+$I38=BP$33,$A38,(IF((BP$33&lt;$H38+$I38),(IF(BP$33&gt;$H38,$A38,"")),""))),"")</f>
        <v/>
      </c>
      <c r="BQ38" s="204">
        <f>IFERROR(IF($H38+$I38=BQ$33,$A38,(IF((BQ$33&lt;$H38+$I38),(IF(BQ$33&gt;$H38,$A38,"")),""))),"")</f>
        <v/>
      </c>
      <c r="BR38" s="204">
        <f>IFERROR(IF($H38+$I38=BR$33,$A38,(IF((BR$33&lt;$H38+$I38),(IF(BR$33&gt;$H38,$A38,"")),""))),"")</f>
        <v/>
      </c>
      <c r="BS38" s="204">
        <f>IFERROR(IF($H38+$I38=BS$33,$A38,(IF((BS$33&lt;$H38+$I38),(IF(BS$33&gt;$H38,$A38,"")),""))),"")</f>
        <v/>
      </c>
      <c r="BT38" s="204">
        <f>IFERROR(IF($H38+$I38=BT$33,$A38,(IF((BT$33&lt;$H38+$I38),(IF(BT$33&gt;$H38,$A38,"")),""))),"")</f>
        <v/>
      </c>
      <c r="BU38" s="204">
        <f>IFERROR(IF($H38+$I38=BU$33,$A38,(IF((BU$33&lt;$H38+$I38),(IF(BU$33&gt;$H38,$A38,"")),""))),"")</f>
        <v/>
      </c>
      <c r="BV38" s="204">
        <f>IFERROR(IF($H38+$I38=BV$33,$A38,(IF((BV$33&lt;$H38+$I38),(IF(BV$33&gt;$H38,$A38,"")),""))),"")</f>
        <v/>
      </c>
      <c r="BW38" s="204">
        <f>IFERROR(IF($H38+$I38=BW$33,$A38,(IF((BW$33&lt;$H38+$I38),(IF(BW$33&gt;$H38,$A38,"")),""))),"")</f>
        <v/>
      </c>
      <c r="BX38" s="204">
        <f>IFERROR(IF($H38+$I38=BX$33,$A38,(IF((BX$33&lt;$H38+$I38),(IF(BX$33&gt;$H38,$A38,"")),""))),"")</f>
        <v/>
      </c>
      <c r="BY38" s="204">
        <f>IFERROR(IF($H38+$I38=BY$33,$A38,(IF((BY$33&lt;$H38+$I38),(IF(BY$33&gt;$H38,$A38,"")),""))),"")</f>
        <v/>
      </c>
      <c r="BZ38" s="204">
        <f>IFERROR(IF($H38+$I38=BZ$33,$A38,(IF((BZ$33&lt;$H38+$I38),(IF(BZ$33&gt;$H38,$A38,"")),""))),"")</f>
        <v/>
      </c>
      <c r="CA38" s="204">
        <f>IFERROR(IF($H38+$I38=CA$33,$A38,(IF((CA$33&lt;$H38+$I38),(IF(CA$33&gt;$H38,$A38,"")),""))),"")</f>
        <v/>
      </c>
      <c r="CB38" s="204">
        <f>IFERROR(IF($H38+$I38=CB$33,$A38,(IF((CB$33&lt;$H38+$I38),(IF(CB$33&gt;$H38,$A38,"")),""))),"")</f>
        <v/>
      </c>
      <c r="CC38" s="204">
        <f>IFERROR(IF($H38+$I38=CC$33,$A38,(IF((CC$33&lt;$H38+$I38),(IF(CC$33&gt;$H38,$A38,"")),""))),"")</f>
        <v/>
      </c>
      <c r="CD38" s="204">
        <f>IFERROR(IF($H38+$I38=CD$33,$A38,(IF((CD$33&lt;$H38+$I38),(IF(CD$33&gt;$H38,$A38,"")),""))),"")</f>
        <v/>
      </c>
      <c r="CE38" s="204">
        <f>IFERROR(IF($H38+$I38=CE$33,$A38,(IF((CE$33&lt;$H38+$I38),(IF(CE$33&gt;$H38,$A38,"")),""))),"")</f>
        <v/>
      </c>
      <c r="CF38" s="204">
        <f>IFERROR(IF($H38+$I38=CF$33,$A38,(IF((CF$33&lt;$H38+$I38),(IF(CF$33&gt;$H38,$A38,"")),""))),"")</f>
        <v/>
      </c>
      <c r="CG38" s="204">
        <f>IFERROR(IF($H38+$I38=CG$33,$A38,(IF((CG$33&lt;$H38+$I38),(IF(CG$33&gt;$H38,$A38,"")),""))),"")</f>
        <v/>
      </c>
      <c r="CH38" s="204">
        <f>IFERROR(IF($H38+$I38=CH$33,$A38,(IF((CH$33&lt;$H38+$I38),(IF(CH$33&gt;$H38,$A38,"")),""))),"")</f>
        <v/>
      </c>
      <c r="CI38" s="204">
        <f>IFERROR(IF($H38+$I38=CI$33,$A38,(IF((CI$33&lt;$H38+$I38),(IF(CI$33&gt;$H38,$A38,"")),""))),"")</f>
        <v/>
      </c>
      <c r="CJ38" s="204">
        <f>IFERROR(IF($H38+$I38=CJ$33,$A38,(IF((CJ$33&lt;$H38+$I38),(IF(CJ$33&gt;$H38,$A38,"")),""))),"")</f>
        <v/>
      </c>
      <c r="CK38" s="204">
        <f>IFERROR(IF($H38+$I38=CK$33,$A38,(IF((CK$33&lt;$H38+$I38),(IF(CK$33&gt;$H38,$A38,"")),""))),"")</f>
        <v/>
      </c>
      <c r="CL38" s="204">
        <f>IFERROR(IF($H38+$I38=CL$33,$A38,(IF((CL$33&lt;$H38+$I38),(IF(CL$33&gt;$H38,$A38,"")),""))),"")</f>
        <v/>
      </c>
      <c r="CM38" s="204">
        <f>IFERROR(IF($H38+$I38=CM$33,$A38,(IF((CM$33&lt;$H38+$I38),(IF(CM$33&gt;$H38,$A38,"")),""))),"")</f>
        <v/>
      </c>
      <c r="CN38" s="204">
        <f>IFERROR(IF($H38+$I38=CN$33,$A38,(IF((CN$33&lt;$H38+$I38),(IF(CN$33&gt;$H38,$A38,"")),""))),"")</f>
        <v/>
      </c>
      <c r="CO38" s="204">
        <f>IFERROR(IF($H38+$I38=CO$33,$A38,(IF((CO$33&lt;$H38+$I38),(IF(CO$33&gt;$H38,$A38,"")),""))),"")</f>
        <v/>
      </c>
      <c r="CP38" s="204">
        <f>IFERROR(IF($H38+$I38=CP$33,$A38,(IF((CP$33&lt;$H38+$I38),(IF(CP$33&gt;$H38,$A38,"")),""))),"")</f>
        <v/>
      </c>
      <c r="CQ38" s="204">
        <f>IFERROR(IF($H38+$I38=CQ$33,$A38,(IF((CQ$33&lt;$H38+$I38),(IF(CQ$33&gt;$H38,$A38,"")),""))),"")</f>
        <v/>
      </c>
      <c r="CR38" s="204">
        <f>IFERROR(IF($H38+$I38=CR$33,$A38,(IF((CR$33&lt;$H38+$I38),(IF(CR$33&gt;$H38,$A38,"")),""))),"")</f>
        <v/>
      </c>
      <c r="CS38" s="204">
        <f>IFERROR(IF($H38+$I38=CS$33,$A38,(IF((CS$33&lt;$H38+$I38),(IF(CS$33&gt;$H38,$A38,"")),""))),"")</f>
        <v/>
      </c>
      <c r="CT38" s="204">
        <f>IFERROR(IF($H38+$I38=CT$33,$A38,(IF((CT$33&lt;$H38+$I38),(IF(CT$33&gt;$H38,$A38,"")),""))),"")</f>
        <v/>
      </c>
      <c r="CU38" s="204">
        <f>IFERROR(IF($H38+$I38=CU$33,$A38,(IF((CU$33&lt;$H38+$I38),(IF(CU$33&gt;$H38,$A38,"")),""))),"")</f>
        <v/>
      </c>
      <c r="CV38" s="204">
        <f>IFERROR(IF($H38+$I38=CV$33,$A38,(IF((CV$33&lt;$H38+$I38),(IF(CV$33&gt;$H38,$A38,"")),""))),"")</f>
        <v/>
      </c>
      <c r="CW38" s="204">
        <f>IFERROR(IF($H38+$I38=CW$33,$A38,(IF((CW$33&lt;$H38+$I38),(IF(CW$33&gt;$H38,$A38,"")),""))),"")</f>
        <v/>
      </c>
      <c r="CX38" s="204">
        <f>IFERROR(IF($H38+$I38=CX$33,$A38,(IF((CX$33&lt;$H38+$I38),(IF(CX$33&gt;$H38,$A38,"")),""))),"")</f>
        <v/>
      </c>
      <c r="CY38" s="204">
        <f>IFERROR(IF($H38+$I38=CY$33,$A38,(IF((CY$33&lt;$H38+$I38),(IF(CY$33&gt;$H38,$A38,"")),""))),"")</f>
        <v/>
      </c>
      <c r="CZ38" s="204">
        <f>IFERROR(IF($H38+$I38=CZ$33,$A38,(IF((CZ$33&lt;$H38+$I38),(IF(CZ$33&gt;$H38,$A38,"")),""))),"")</f>
        <v/>
      </c>
      <c r="DA38" s="207">
        <f>IFERROR(IF($H38+$I38=DA$33,$A38,(IF((DA$33&lt;$H38+$I38),(IF(DA$33&gt;$H38,$A38,"")),""))),"")</f>
        <v/>
      </c>
    </row>
    <row r="39" ht="14.4" customHeight="1">
      <c r="A39" s="32" t="n">
        <v>3</v>
      </c>
      <c r="B39" s="536" t="n"/>
      <c r="C39" s="542" t="n"/>
      <c r="D39" s="328" t="inlineStr">
        <is>
          <t xml:space="preserve">R1 : User Acceptance Testing     </t>
        </is>
      </c>
      <c r="E39" s="466" t="n"/>
      <c r="F39" s="466" t="n"/>
      <c r="G39" s="224" t="inlineStr">
        <is>
          <t>UAT</t>
        </is>
      </c>
      <c r="H39" s="221">
        <f>H38+I38</f>
        <v/>
      </c>
      <c r="I39" s="254" t="n">
        <v>2</v>
      </c>
      <c r="J39" s="42">
        <f>IFERROR(IF($H39+$I39=J$33,$A39,(IF((J$33&lt;$H39+$I39),(IF(J$33&gt;$H39,$A39,"")),""))),"")</f>
        <v/>
      </c>
      <c r="K39" s="42">
        <f>IFERROR(IF($H39+$I39=K$33,$A39,(IF((K$33&lt;$H39+$I39),(IF(K$33&gt;$H39,$A39,"")),""))),"")</f>
        <v/>
      </c>
      <c r="L39" s="42">
        <f>IFERROR(IF($H39+$I39=L$33,$A39,(IF((L$33&lt;$H39+$I39),(IF(L$33&gt;$H39,$A39,"")),""))),"")</f>
        <v/>
      </c>
      <c r="M39" s="42">
        <f>IFERROR(IF($H39+$I39=M$33,$A39,(IF((M$33&lt;$H39+$I39),(IF(M$33&gt;$H39,$A39,"")),""))),"")</f>
        <v/>
      </c>
      <c r="N39" s="42">
        <f>IFERROR(IF($H39+$I39=N$33,$A39,(IF((N$33&lt;$H39+$I39),(IF(N$33&gt;$H39,$A39,"")),""))),"")</f>
        <v/>
      </c>
      <c r="O39" s="42">
        <f>IFERROR(IF($H39+$I39=O$33,$A39,(IF((O$33&lt;$H39+$I39),(IF(O$33&gt;$H39,$A39,"")),""))),"")</f>
        <v/>
      </c>
      <c r="P39" s="42">
        <f>IFERROR(IF($H39+$I39=P$33,$A39,(IF((P$33&lt;$H39+$I39),(IF(P$33&gt;$H39,$A39,"")),""))),"")</f>
        <v/>
      </c>
      <c r="Q39" s="42">
        <f>IFERROR(IF($H39+$I39=Q$33,$A39,(IF((Q$33&lt;$H39+$I39),(IF(Q$33&gt;$H39,$A39,"")),""))),"")</f>
        <v/>
      </c>
      <c r="R39" s="42">
        <f>IFERROR(IF($H39+$I39=R$33,$A39,(IF((R$33&lt;$H39+$I39),(IF(R$33&gt;$H39,$A39,"")),""))),"")</f>
        <v/>
      </c>
      <c r="S39" s="42">
        <f>IFERROR(IF($H39+$I39=S$33,$A39,(IF((S$33&lt;$H39+$I39),(IF(S$33&gt;$H39,$A39,"")),""))),"")</f>
        <v/>
      </c>
      <c r="T39" s="42">
        <f>IFERROR(IF($H39+$I39=T$33,$A39,(IF((T$33&lt;$H39+$I39),(IF(T$33&gt;$H39,$A39,"")),""))),"")</f>
        <v/>
      </c>
      <c r="U39" s="42">
        <f>IFERROR(IF($H39+$I39=U$33,$A39,(IF((U$33&lt;$H39+$I39),(IF(U$33&gt;$H39,$A39,"")),""))),"")</f>
        <v/>
      </c>
      <c r="V39" s="42">
        <f>IFERROR(IF($H39+$I39=V$33,$A39,(IF((V$33&lt;$H39+$I39),(IF(V$33&gt;$H39,$A39,"")),""))),"")</f>
        <v/>
      </c>
      <c r="W39" s="42">
        <f>IFERROR(IF($H39+$I39=W$33,$A39,(IF((W$33&lt;$H39+$I39),(IF(W$33&gt;$H39,$A39,"")),""))),"")</f>
        <v/>
      </c>
      <c r="X39" s="42">
        <f>IFERROR(IF($H39+$I39=X$33,$A39,(IF((X$33&lt;$H39+$I39),(IF(X$33&gt;$H39,$A39,"")),""))),"")</f>
        <v/>
      </c>
      <c r="Y39" s="42">
        <f>IFERROR(IF($H39+$I39=Y$33,$A39,(IF((Y$33&lt;$H39+$I39),(IF(Y$33&gt;$H39,$A39,"")),""))),"")</f>
        <v/>
      </c>
      <c r="Z39" s="42">
        <f>IFERROR(IF($H39+$I39=Z$33,$A39,(IF((Z$33&lt;$H39+$I39),(IF(Z$33&gt;$H39,$A39,"")),""))),"")</f>
        <v/>
      </c>
      <c r="AA39" s="42">
        <f>IFERROR(IF($H39+$I39=AA$33,$A39,(IF((AA$33&lt;$H39+$I39),(IF(AA$33&gt;$H39,$A39,"")),""))),"")</f>
        <v/>
      </c>
      <c r="AB39" s="42">
        <f>IFERROR(IF($H39+$I39=AB$33,$A39,(IF((AB$33&lt;$H39+$I39),(IF(AB$33&gt;$H39,$A39,"")),""))),"")</f>
        <v/>
      </c>
      <c r="AC39" s="42">
        <f>IFERROR(IF($H39+$I39=AC$33,$A39,(IF((AC$33&lt;$H39+$I39),(IF(AC$33&gt;$H39,$A39,"")),""))),"")</f>
        <v/>
      </c>
      <c r="AD39" s="42">
        <f>IFERROR(IF($H39+$I39=AD$33,$A39,(IF((AD$33&lt;$H39+$I39),(IF(AD$33&gt;$H39,$A39,"")),""))),"")</f>
        <v/>
      </c>
      <c r="AE39" s="42">
        <f>IFERROR(IF($H39+$I39=AE$33,$A39,(IF((AE$33&lt;$H39+$I39),(IF(AE$33&gt;$H39,$A39,"")),""))),"")</f>
        <v/>
      </c>
      <c r="AF39" s="42">
        <f>IFERROR(IF($H39+$I39=AF$33,$A39,(IF((AF$33&lt;$H39+$I39),(IF(AF$33&gt;$H39,$A39,"")),""))),"")</f>
        <v/>
      </c>
      <c r="AG39" s="42">
        <f>IFERROR(IF($H39+$I39=AG$33,$A39,(IF((AG$33&lt;$H39+$I39),(IF(AG$33&gt;$H39,$A39,"")),""))),"")</f>
        <v/>
      </c>
      <c r="AH39" s="42">
        <f>IFERROR(IF($H39+$I39=AH$33,$A39,(IF((AH$33&lt;$H39+$I39),(IF(AH$33&gt;$H39,$A39,"")),""))),"")</f>
        <v/>
      </c>
      <c r="AI39" s="42">
        <f>IFERROR(IF($H39+$I39=AI$33,$A39,(IF((AI$33&lt;$H39+$I39),(IF(AI$33&gt;$H39,$A39,"")),""))),"")</f>
        <v/>
      </c>
      <c r="AJ39" s="42">
        <f>IFERROR(IF($H39+$I39=AJ$33,$A39,(IF((AJ$33&lt;$H39+$I39),(IF(AJ$33&gt;$H39,$A39,"")),""))),"")</f>
        <v/>
      </c>
      <c r="AK39" s="42">
        <f>IFERROR(IF($H39+$I39=AK$33,$A39,(IF((AK$33&lt;$H39+$I39),(IF(AK$33&gt;$H39,$A39,"")),""))),"")</f>
        <v/>
      </c>
      <c r="AL39" s="42">
        <f>IFERROR(IF($H39+$I39=AL$33,$A39,(IF((AL$33&lt;$H39+$I39),(IF(AL$33&gt;$H39,$A39,"")),""))),"")</f>
        <v/>
      </c>
      <c r="AM39" s="42">
        <f>IFERROR(IF($H39+$I39=AM$33,$A39,(IF((AM$33&lt;$H39+$I39),(IF(AM$33&gt;$H39,$A39,"")),""))),"")</f>
        <v/>
      </c>
      <c r="AN39" s="42">
        <f>IFERROR(IF($H39+$I39=AN$33,$A39,(IF((AN$33&lt;$H39+$I39),(IF(AN$33&gt;$H39,$A39,"")),""))),"")</f>
        <v/>
      </c>
      <c r="AO39" s="42">
        <f>IFERROR(IF($H39+$I39=AO$33,$A39,(IF((AO$33&lt;$H39+$I39),(IF(AO$33&gt;$H39,$A39,"")),""))),"")</f>
        <v/>
      </c>
      <c r="AP39" s="42">
        <f>IFERROR(IF($H39+$I39=AP$33,$A39,(IF((AP$33&lt;$H39+$I39),(IF(AP$33&gt;$H39,$A39,"")),""))),"")</f>
        <v/>
      </c>
      <c r="AQ39" s="42">
        <f>IFERROR(IF($H39+$I39=AQ$33,$A39,(IF((AQ$33&lt;$H39+$I39),(IF(AQ$33&gt;$H39,$A39,"")),""))),"")</f>
        <v/>
      </c>
      <c r="AR39" s="42">
        <f>IFERROR(IF($H39+$I39=AR$33,$A39,(IF((AR$33&lt;$H39+$I39),(IF(AR$33&gt;$H39,$A39,"")),""))),"")</f>
        <v/>
      </c>
      <c r="AS39" s="42">
        <f>IFERROR(IF($H39+$I39=AS$33,$A39,(IF((AS$33&lt;$H39+$I39),(IF(AS$33&gt;$H39,$A39,"")),""))),"")</f>
        <v/>
      </c>
      <c r="AT39" s="42">
        <f>IFERROR(IF($H39+$I39=AT$33,$A39,(IF((AT$33&lt;$H39+$I39),(IF(AT$33&gt;$H39,$A39,"")),""))),"")</f>
        <v/>
      </c>
      <c r="AU39" s="42">
        <f>IFERROR(IF($H39+$I39=AU$33,$A39,(IF((AU$33&lt;$H39+$I39),(IF(AU$33&gt;$H39,$A39,"")),""))),"")</f>
        <v/>
      </c>
      <c r="AV39" s="42">
        <f>IFERROR(IF($H39+$I39=AV$33,$A39,(IF((AV$33&lt;$H39+$I39),(IF(AV$33&gt;$H39,$A39,"")),""))),"")</f>
        <v/>
      </c>
      <c r="AW39" s="42">
        <f>IFERROR(IF($H39+$I39=AW$33,$A39,(IF((AW$33&lt;$H39+$I39),(IF(AW$33&gt;$H39,$A39,"")),""))),"")</f>
        <v/>
      </c>
      <c r="AX39" s="42">
        <f>IFERROR(IF($H39+$I39=AX$33,$A39,(IF((AX$33&lt;$H39+$I39),(IF(AX$33&gt;$H39,$A39,"")),""))),"")</f>
        <v/>
      </c>
      <c r="AY39" s="42">
        <f>IFERROR(IF($H39+$I39=AY$33,$A39,(IF((AY$33&lt;$H39+$I39),(IF(AY$33&gt;$H39,$A39,"")),""))),"")</f>
        <v/>
      </c>
      <c r="AZ39" s="42">
        <f>IFERROR(IF($H39+$I39=AZ$33,$A39,(IF((AZ$33&lt;$H39+$I39),(IF(AZ$33&gt;$H39,$A39,"")),""))),"")</f>
        <v/>
      </c>
      <c r="BA39" s="42">
        <f>IFERROR(IF($H39+$I39=BA$33,$A39,(IF((BA$33&lt;$H39+$I39),(IF(BA$33&gt;$H39,$A39,"")),""))),"")</f>
        <v/>
      </c>
      <c r="BB39" s="42">
        <f>IFERROR(IF($H39+$I39=BB$33,$A39,(IF((BB$33&lt;$H39+$I39),(IF(BB$33&gt;$H39,$A39,"")),""))),"")</f>
        <v/>
      </c>
      <c r="BC39" s="42">
        <f>IFERROR(IF($H39+$I39=BC$33,$A39,(IF((BC$33&lt;$H39+$I39),(IF(BC$33&gt;$H39,$A39,"")),""))),"")</f>
        <v/>
      </c>
      <c r="BD39" s="42">
        <f>IFERROR(IF($H39+$I39=BD$33,$A39,(IF((BD$33&lt;$H39+$I39),(IF(BD$33&gt;$H39,$A39,"")),""))),"")</f>
        <v/>
      </c>
      <c r="BE39" s="154">
        <f>IFERROR(IF($H39+$I39=BE$33,$A39,(IF((BE$33&lt;$H39+$I39),(IF(BE$33&gt;$H39,$A39,"")),""))),"")</f>
        <v/>
      </c>
      <c r="BF39" s="42">
        <f>IFERROR(IF($H39+$I39=BF$33,$A39,(IF((BF$33&lt;$H39+$I39),(IF(BF$33&gt;$H39,$A39,"")),""))),"")</f>
        <v/>
      </c>
      <c r="BG39" s="42">
        <f>IFERROR(IF($H39+$I39=BG$33,$A39,(IF((BG$33&lt;$H39+$I39),(IF(BG$33&gt;$H39,$A39,"")),""))),"")</f>
        <v/>
      </c>
      <c r="BH39" s="42">
        <f>IFERROR(IF($H39+$I39=BH$33,$A39,(IF((BH$33&lt;$H39+$I39),(IF(BH$33&gt;$H39,$A39,"")),""))),"")</f>
        <v/>
      </c>
      <c r="BI39" s="42">
        <f>IFERROR(IF($H39+$I39=BI$33,$A39,(IF((BI$33&lt;$H39+$I39),(IF(BI$33&gt;$H39,$A39,"")),""))),"")</f>
        <v/>
      </c>
      <c r="BJ39" s="42">
        <f>IFERROR(IF($H39+$I39=BJ$33,$A39,(IF((BJ$33&lt;$H39+$I39),(IF(BJ$33&gt;$H39,$A39,"")),""))),"")</f>
        <v/>
      </c>
      <c r="BK39" s="42">
        <f>IFERROR(IF($H39+$I39=BK$33,$A39,(IF((BK$33&lt;$H39+$I39),(IF(BK$33&gt;$H39,$A39,"")),""))),"")</f>
        <v/>
      </c>
      <c r="BL39" s="42">
        <f>IFERROR(IF($H39+$I39=BL$33,$A39,(IF((BL$33&lt;$H39+$I39),(IF(BL$33&gt;$H39,$A39,"")),""))),"")</f>
        <v/>
      </c>
      <c r="BM39" s="42">
        <f>IFERROR(IF($H39+$I39=BM$33,$A39,(IF((BM$33&lt;$H39+$I39),(IF(BM$33&gt;$H39,$A39,"")),""))),"")</f>
        <v/>
      </c>
      <c r="BN39" s="42">
        <f>IFERROR(IF($H39+$I39=BN$33,$A39,(IF((BN$33&lt;$H39+$I39),(IF(BN$33&gt;$H39,$A39,"")),""))),"")</f>
        <v/>
      </c>
      <c r="BO39" s="42">
        <f>IFERROR(IF($H39+$I39=BO$33,$A39,(IF((BO$33&lt;$H39+$I39),(IF(BO$33&gt;$H39,$A39,"")),""))),"")</f>
        <v/>
      </c>
      <c r="BP39" s="42">
        <f>IFERROR(IF($H39+$I39=BP$33,$A39,(IF((BP$33&lt;$H39+$I39),(IF(BP$33&gt;$H39,$A39,"")),""))),"")</f>
        <v/>
      </c>
      <c r="BQ39" s="42">
        <f>IFERROR(IF($H39+$I39=BQ$33,$A39,(IF((BQ$33&lt;$H39+$I39),(IF(BQ$33&gt;$H39,$A39,"")),""))),"")</f>
        <v/>
      </c>
      <c r="BR39" s="42">
        <f>IFERROR(IF($H39+$I39=BR$33,$A39,(IF((BR$33&lt;$H39+$I39),(IF(BR$33&gt;$H39,$A39,"")),""))),"")</f>
        <v/>
      </c>
      <c r="BS39" s="42">
        <f>IFERROR(IF($H39+$I39=BS$33,$A39,(IF((BS$33&lt;$H39+$I39),(IF(BS$33&gt;$H39,$A39,"")),""))),"")</f>
        <v/>
      </c>
      <c r="BT39" s="42">
        <f>IFERROR(IF($H39+$I39=BT$33,$A39,(IF((BT$33&lt;$H39+$I39),(IF(BT$33&gt;$H39,$A39,"")),""))),"")</f>
        <v/>
      </c>
      <c r="BU39" s="42">
        <f>IFERROR(IF($H39+$I39=BU$33,$A39,(IF((BU$33&lt;$H39+$I39),(IF(BU$33&gt;$H39,$A39,"")),""))),"")</f>
        <v/>
      </c>
      <c r="BV39" s="42">
        <f>IFERROR(IF($H39+$I39=BV$33,$A39,(IF((BV$33&lt;$H39+$I39),(IF(BV$33&gt;$H39,$A39,"")),""))),"")</f>
        <v/>
      </c>
      <c r="BW39" s="42">
        <f>IFERROR(IF($H39+$I39=BW$33,$A39,(IF((BW$33&lt;$H39+$I39),(IF(BW$33&gt;$H39,$A39,"")),""))),"")</f>
        <v/>
      </c>
      <c r="BX39" s="42">
        <f>IFERROR(IF($H39+$I39=BX$33,$A39,(IF((BX$33&lt;$H39+$I39),(IF(BX$33&gt;$H39,$A39,"")),""))),"")</f>
        <v/>
      </c>
      <c r="BY39" s="42">
        <f>IFERROR(IF($H39+$I39=BY$33,$A39,(IF((BY$33&lt;$H39+$I39),(IF(BY$33&gt;$H39,$A39,"")),""))),"")</f>
        <v/>
      </c>
      <c r="BZ39" s="42">
        <f>IFERROR(IF($H39+$I39=BZ$33,$A39,(IF((BZ$33&lt;$H39+$I39),(IF(BZ$33&gt;$H39,$A39,"")),""))),"")</f>
        <v/>
      </c>
      <c r="CA39" s="42">
        <f>IFERROR(IF($H39+$I39=CA$33,$A39,(IF((CA$33&lt;$H39+$I39),(IF(CA$33&gt;$H39,$A39,"")),""))),"")</f>
        <v/>
      </c>
      <c r="CB39" s="42">
        <f>IFERROR(IF($H39+$I39=CB$33,$A39,(IF((CB$33&lt;$H39+$I39),(IF(CB$33&gt;$H39,$A39,"")),""))),"")</f>
        <v/>
      </c>
      <c r="CC39" s="42">
        <f>IFERROR(IF($H39+$I39=CC$33,$A39,(IF((CC$33&lt;$H39+$I39),(IF(CC$33&gt;$H39,$A39,"")),""))),"")</f>
        <v/>
      </c>
      <c r="CD39" s="42">
        <f>IFERROR(IF($H39+$I39=CD$33,$A39,(IF((CD$33&lt;$H39+$I39),(IF(CD$33&gt;$H39,$A39,"")),""))),"")</f>
        <v/>
      </c>
      <c r="CE39" s="42">
        <f>IFERROR(IF($H39+$I39=CE$33,$A39,(IF((CE$33&lt;$H39+$I39),(IF(CE$33&gt;$H39,$A39,"")),""))),"")</f>
        <v/>
      </c>
      <c r="CF39" s="42">
        <f>IFERROR(IF($H39+$I39=CF$33,$A39,(IF((CF$33&lt;$H39+$I39),(IF(CF$33&gt;$H39,$A39,"")),""))),"")</f>
        <v/>
      </c>
      <c r="CG39" s="42">
        <f>IFERROR(IF($H39+$I39=CG$33,$A39,(IF((CG$33&lt;$H39+$I39),(IF(CG$33&gt;$H39,$A39,"")),""))),"")</f>
        <v/>
      </c>
      <c r="CH39" s="42">
        <f>IFERROR(IF($H39+$I39=CH$33,$A39,(IF((CH$33&lt;$H39+$I39),(IF(CH$33&gt;$H39,$A39,"")),""))),"")</f>
        <v/>
      </c>
      <c r="CI39" s="42">
        <f>IFERROR(IF($H39+$I39=CI$33,$A39,(IF((CI$33&lt;$H39+$I39),(IF(CI$33&gt;$H39,$A39,"")),""))),"")</f>
        <v/>
      </c>
      <c r="CJ39" s="42">
        <f>IFERROR(IF($H39+$I39=CJ$33,$A39,(IF((CJ$33&lt;$H39+$I39),(IF(CJ$33&gt;$H39,$A39,"")),""))),"")</f>
        <v/>
      </c>
      <c r="CK39" s="42">
        <f>IFERROR(IF($H39+$I39=CK$33,$A39,(IF((CK$33&lt;$H39+$I39),(IF(CK$33&gt;$H39,$A39,"")),""))),"")</f>
        <v/>
      </c>
      <c r="CL39" s="42">
        <f>IFERROR(IF($H39+$I39=CL$33,$A39,(IF((CL$33&lt;$H39+$I39),(IF(CL$33&gt;$H39,$A39,"")),""))),"")</f>
        <v/>
      </c>
      <c r="CM39" s="42">
        <f>IFERROR(IF($H39+$I39=CM$33,$A39,(IF((CM$33&lt;$H39+$I39),(IF(CM$33&gt;$H39,$A39,"")),""))),"")</f>
        <v/>
      </c>
      <c r="CN39" s="42">
        <f>IFERROR(IF($H39+$I39=CN$33,$A39,(IF((CN$33&lt;$H39+$I39),(IF(CN$33&gt;$H39,$A39,"")),""))),"")</f>
        <v/>
      </c>
      <c r="CO39" s="42">
        <f>IFERROR(IF($H39+$I39=CO$33,$A39,(IF((CO$33&lt;$H39+$I39),(IF(CO$33&gt;$H39,$A39,"")),""))),"")</f>
        <v/>
      </c>
      <c r="CP39" s="42">
        <f>IFERROR(IF($H39+$I39=CP$33,$A39,(IF((CP$33&lt;$H39+$I39),(IF(CP$33&gt;$H39,$A39,"")),""))),"")</f>
        <v/>
      </c>
      <c r="CQ39" s="42">
        <f>IFERROR(IF($H39+$I39=CQ$33,$A39,(IF((CQ$33&lt;$H39+$I39),(IF(CQ$33&gt;$H39,$A39,"")),""))),"")</f>
        <v/>
      </c>
      <c r="CR39" s="42">
        <f>IFERROR(IF($H39+$I39=CR$33,$A39,(IF((CR$33&lt;$H39+$I39),(IF(CR$33&gt;$H39,$A39,"")),""))),"")</f>
        <v/>
      </c>
      <c r="CS39" s="42">
        <f>IFERROR(IF($H39+$I39=CS$33,$A39,(IF((CS$33&lt;$H39+$I39),(IF(CS$33&gt;$H39,$A39,"")),""))),"")</f>
        <v/>
      </c>
      <c r="CT39" s="42">
        <f>IFERROR(IF($H39+$I39=CT$33,$A39,(IF((CT$33&lt;$H39+$I39),(IF(CT$33&gt;$H39,$A39,"")),""))),"")</f>
        <v/>
      </c>
      <c r="CU39" s="42">
        <f>IFERROR(IF($H39+$I39=CU$33,$A39,(IF((CU$33&lt;$H39+$I39),(IF(CU$33&gt;$H39,$A39,"")),""))),"")</f>
        <v/>
      </c>
      <c r="CV39" s="42">
        <f>IFERROR(IF($H39+$I39=CV$33,$A39,(IF((CV$33&lt;$H39+$I39),(IF(CV$33&gt;$H39,$A39,"")),""))),"")</f>
        <v/>
      </c>
      <c r="CW39" s="42">
        <f>IFERROR(IF($H39+$I39=CW$33,$A39,(IF((CW$33&lt;$H39+$I39),(IF(CW$33&gt;$H39,$A39,"")),""))),"")</f>
        <v/>
      </c>
      <c r="CX39" s="42">
        <f>IFERROR(IF($H39+$I39=CX$33,$A39,(IF((CX$33&lt;$H39+$I39),(IF(CX$33&gt;$H39,$A39,"")),""))),"")</f>
        <v/>
      </c>
      <c r="CY39" s="42">
        <f>IFERROR(IF($H39+$I39=CY$33,$A39,(IF((CY$33&lt;$H39+$I39),(IF(CY$33&gt;$H39,$A39,"")),""))),"")</f>
        <v/>
      </c>
      <c r="CZ39" s="42">
        <f>IFERROR(IF($H39+$I39=CZ$33,$A39,(IF((CZ$33&lt;$H39+$I39),(IF(CZ$33&gt;$H39,$A39,"")),""))),"")</f>
        <v/>
      </c>
      <c r="DA39" s="43">
        <f>IFERROR(IF($H39+$I39=DA$33,$A39,(IF((DA$33&lt;$H39+$I39),(IF(DA$33&gt;$H39,$A39,"")),""))),"")</f>
        <v/>
      </c>
    </row>
    <row r="40">
      <c r="A40" s="32" t="n">
        <v>3</v>
      </c>
      <c r="B40" s="536" t="n"/>
      <c r="C40" s="542" t="n"/>
      <c r="D40" s="326" t="inlineStr">
        <is>
          <t xml:space="preserve">R1 : Go Live </t>
        </is>
      </c>
      <c r="E40" s="543" t="n"/>
      <c r="F40" s="543" t="n"/>
      <c r="G40" s="225" t="n"/>
      <c r="H40" s="223">
        <f>H39+I39</f>
        <v/>
      </c>
      <c r="I40" s="253" t="n">
        <v>1</v>
      </c>
      <c r="J40" s="42">
        <f>IFERROR(IF($H40+$I40=J$33,$A40,(IF((J$33&lt;$H40+$I40),(IF(J$33&gt;$H40,$A40,"")),""))),"")</f>
        <v/>
      </c>
      <c r="K40" s="42">
        <f>IFERROR(IF($H40+$I40=K$33,$A40,(IF((K$33&lt;$H40+$I40),(IF(K$33&gt;$H40,$A40,"")),""))),"")</f>
        <v/>
      </c>
      <c r="L40" s="42">
        <f>IFERROR(IF($H40+$I40=L$33,$A40,(IF((L$33&lt;$H40+$I40),(IF(L$33&gt;$H40,$A40,"")),""))),"")</f>
        <v/>
      </c>
      <c r="M40" s="42">
        <f>IFERROR(IF($H40+$I40=M$33,$A40,(IF((M$33&lt;$H40+$I40),(IF(M$33&gt;$H40,$A40,"")),""))),"")</f>
        <v/>
      </c>
      <c r="N40" s="42">
        <f>IFERROR(IF($H40+$I40=N$33,$A40,(IF((N$33&lt;$H40+$I40),(IF(N$33&gt;$H40,$A40,"")),""))),"")</f>
        <v/>
      </c>
      <c r="O40" s="42">
        <f>IFERROR(IF($H40+$I40=O$33,$A40,(IF((O$33&lt;$H40+$I40),(IF(O$33&gt;$H40,$A40,"")),""))),"")</f>
        <v/>
      </c>
      <c r="P40" s="42">
        <f>IFERROR(IF($H40+$I40=P$33,$A40,(IF((P$33&lt;$H40+$I40),(IF(P$33&gt;$H40,$A40,"")),""))),"")</f>
        <v/>
      </c>
      <c r="Q40" s="42">
        <f>IFERROR(IF($H40+$I40=Q$33,$A40,(IF((Q$33&lt;$H40+$I40),(IF(Q$33&gt;$H40,$A40,"")),""))),"")</f>
        <v/>
      </c>
      <c r="R40" s="42">
        <f>IFERROR(IF($H40+$I40=R$33,$A40,(IF((R$33&lt;$H40+$I40),(IF(R$33&gt;$H40,$A40,"")),""))),"")</f>
        <v/>
      </c>
      <c r="S40" s="42">
        <f>IFERROR(IF($H40+$I40=S$33,$A40,(IF((S$33&lt;$H40+$I40),(IF(S$33&gt;$H40,$A40,"")),""))),"")</f>
        <v/>
      </c>
      <c r="T40" s="42">
        <f>IFERROR(IF($H40+$I40=T$33,$A40,(IF((T$33&lt;$H40+$I40),(IF(T$33&gt;$H40,$A40,"")),""))),"")</f>
        <v/>
      </c>
      <c r="U40" s="42">
        <f>IFERROR(IF($H40+$I40=U$33,$A40,(IF((U$33&lt;$H40+$I40),(IF(U$33&gt;$H40,$A40,"")),""))),"")</f>
        <v/>
      </c>
      <c r="V40" s="42">
        <f>IFERROR(IF($H40+$I40=V$33,$A40,(IF((V$33&lt;$H40+$I40),(IF(V$33&gt;$H40,$A40,"")),""))),"")</f>
        <v/>
      </c>
      <c r="W40" s="42">
        <f>IFERROR(IF($H40+$I40=W$33,$A40,(IF((W$33&lt;$H40+$I40),(IF(W$33&gt;$H40,$A40,"")),""))),"")</f>
        <v/>
      </c>
      <c r="X40" s="42">
        <f>IFERROR(IF($H40+$I40=X$33,$A40,(IF((X$33&lt;$H40+$I40),(IF(X$33&gt;$H40,$A40,"")),""))),"")</f>
        <v/>
      </c>
      <c r="Y40" s="42">
        <f>IFERROR(IF($H40+$I40=Y$33,$A40,(IF((Y$33&lt;$H40+$I40),(IF(Y$33&gt;$H40,$A40,"")),""))),"")</f>
        <v/>
      </c>
      <c r="Z40" s="42">
        <f>IFERROR(IF($H40+$I40=Z$33,$A40,(IF((Z$33&lt;$H40+$I40),(IF(Z$33&gt;$H40,$A40,"")),""))),"")</f>
        <v/>
      </c>
      <c r="AA40" s="42">
        <f>IFERROR(IF($H40+$I40=AA$33,$A40,(IF((AA$33&lt;$H40+$I40),(IF(AA$33&gt;$H40,$A40,"")),""))),"")</f>
        <v/>
      </c>
      <c r="AB40" s="42">
        <f>IFERROR(IF($H40+$I40=AB$33,$A40,(IF((AB$33&lt;$H40+$I40),(IF(AB$33&gt;$H40,$A40,"")),""))),"")</f>
        <v/>
      </c>
      <c r="AC40" s="42">
        <f>IFERROR(IF($H40+$I40=AC$33,$A40,(IF((AC$33&lt;$H40+$I40),(IF(AC$33&gt;$H40,$A40,"")),""))),"")</f>
        <v/>
      </c>
      <c r="AD40" s="42">
        <f>IFERROR(IF($H40+$I40=AD$33,$A40,(IF((AD$33&lt;$H40+$I40),(IF(AD$33&gt;$H40,$A40,"")),""))),"")</f>
        <v/>
      </c>
      <c r="AE40" s="42">
        <f>IFERROR(IF($H40+$I40=AE$33,$A40,(IF((AE$33&lt;$H40+$I40),(IF(AE$33&gt;$H40,$A40,"")),""))),"")</f>
        <v/>
      </c>
      <c r="AF40" s="42">
        <f>IFERROR(IF($H40+$I40=AF$33,$A40,(IF((AF$33&lt;$H40+$I40),(IF(AF$33&gt;$H40,$A40,"")),""))),"")</f>
        <v/>
      </c>
      <c r="AG40" s="42">
        <f>IFERROR(IF($H40+$I40=AG$33,$A40,(IF((AG$33&lt;$H40+$I40),(IF(AG$33&gt;$H40,$A40,"")),""))),"")</f>
        <v/>
      </c>
      <c r="AH40" s="42">
        <f>IFERROR(IF($H40+$I40=AH$33,$A40,(IF((AH$33&lt;$H40+$I40),(IF(AH$33&gt;$H40,$A40,"")),""))),"")</f>
        <v/>
      </c>
      <c r="AI40" s="42">
        <f>IFERROR(IF($H40+$I40=AI$33,$A40,(IF((AI$33&lt;$H40+$I40),(IF(AI$33&gt;$H40,$A40,"")),""))),"")</f>
        <v/>
      </c>
      <c r="AJ40" s="42">
        <f>IFERROR(IF($H40+$I40=AJ$33,$A40,(IF((AJ$33&lt;$H40+$I40),(IF(AJ$33&gt;$H40,$A40,"")),""))),"")</f>
        <v/>
      </c>
      <c r="AK40" s="42">
        <f>IFERROR(IF($H40+$I40=AK$33,$A40,(IF((AK$33&lt;$H40+$I40),(IF(AK$33&gt;$H40,$A40,"")),""))),"")</f>
        <v/>
      </c>
      <c r="AL40" s="42">
        <f>IFERROR(IF($H40+$I40=AL$33,$A40,(IF((AL$33&lt;$H40+$I40),(IF(AL$33&gt;$H40,$A40,"")),""))),"")</f>
        <v/>
      </c>
      <c r="AM40" s="42">
        <f>IFERROR(IF($H40+$I40=AM$33,$A40,(IF((AM$33&lt;$H40+$I40),(IF(AM$33&gt;$H40,$A40,"")),""))),"")</f>
        <v/>
      </c>
      <c r="AN40" s="42">
        <f>IFERROR(IF($H40+$I40=AN$33,$A40,(IF((AN$33&lt;$H40+$I40),(IF(AN$33&gt;$H40,$A40,"")),""))),"")</f>
        <v/>
      </c>
      <c r="AO40" s="42">
        <f>IFERROR(IF($H40+$I40=AO$33,$A40,(IF((AO$33&lt;$H40+$I40),(IF(AO$33&gt;$H40,$A40,"")),""))),"")</f>
        <v/>
      </c>
      <c r="AP40" s="42">
        <f>IFERROR(IF($H40+$I40=AP$33,$A40,(IF((AP$33&lt;$H40+$I40),(IF(AP$33&gt;$H40,$A40,"")),""))),"")</f>
        <v/>
      </c>
      <c r="AQ40" s="42">
        <f>IFERROR(IF($H40+$I40=AQ$33,$A40,(IF((AQ$33&lt;$H40+$I40),(IF(AQ$33&gt;$H40,$A40,"")),""))),"")</f>
        <v/>
      </c>
      <c r="AR40" s="42">
        <f>IFERROR(IF($H40+$I40=AR$33,$A40,(IF((AR$33&lt;$H40+$I40),(IF(AR$33&gt;$H40,$A40,"")),""))),"")</f>
        <v/>
      </c>
      <c r="AS40" s="42">
        <f>IFERROR(IF($H40+$I40=AS$33,$A40,(IF((AS$33&lt;$H40+$I40),(IF(AS$33&gt;$H40,$A40,"")),""))),"")</f>
        <v/>
      </c>
      <c r="AT40" s="42">
        <f>IFERROR(IF($H40+$I40=AT$33,$A40,(IF((AT$33&lt;$H40+$I40),(IF(AT$33&gt;$H40,$A40,"")),""))),"")</f>
        <v/>
      </c>
      <c r="AU40" s="42">
        <f>IFERROR(IF($H40+$I40=AU$33,$A40,(IF((AU$33&lt;$H40+$I40),(IF(AU$33&gt;$H40,$A40,"")),""))),"")</f>
        <v/>
      </c>
      <c r="AV40" s="42">
        <f>IFERROR(IF($H40+$I40=AV$33,$A40,(IF((AV$33&lt;$H40+$I40),(IF(AV$33&gt;$H40,$A40,"")),""))),"")</f>
        <v/>
      </c>
      <c r="AW40" s="42">
        <f>IFERROR(IF($H40+$I40=AW$33,$A40,(IF((AW$33&lt;$H40+$I40),(IF(AW$33&gt;$H40,$A40,"")),""))),"")</f>
        <v/>
      </c>
      <c r="AX40" s="42">
        <f>IFERROR(IF($H40+$I40=AX$33,$A40,(IF((AX$33&lt;$H40+$I40),(IF(AX$33&gt;$H40,$A40,"")),""))),"")</f>
        <v/>
      </c>
      <c r="AY40" s="42">
        <f>IFERROR(IF($H40+$I40=AY$33,$A40,(IF((AY$33&lt;$H40+$I40),(IF(AY$33&gt;$H40,$A40,"")),""))),"")</f>
        <v/>
      </c>
      <c r="AZ40" s="42">
        <f>IFERROR(IF($H40+$I40=AZ$33,$A40,(IF((AZ$33&lt;$H40+$I40),(IF(AZ$33&gt;$H40,$A40,"")),""))),"")</f>
        <v/>
      </c>
      <c r="BA40" s="42">
        <f>IFERROR(IF($H40+$I40=BA$33,$A40,(IF((BA$33&lt;$H40+$I40),(IF(BA$33&gt;$H40,$A40,"")),""))),"")</f>
        <v/>
      </c>
      <c r="BB40" s="42">
        <f>IFERROR(IF($H40+$I40=BB$33,$A40,(IF((BB$33&lt;$H40+$I40),(IF(BB$33&gt;$H40,$A40,"")),""))),"")</f>
        <v/>
      </c>
      <c r="BC40" s="42">
        <f>IFERROR(IF($H40+$I40=BC$33,$A40,(IF((BC$33&lt;$H40+$I40),(IF(BC$33&gt;$H40,$A40,"")),""))),"")</f>
        <v/>
      </c>
      <c r="BD40" s="42">
        <f>IFERROR(IF($H40+$I40=BD$33,$A40,(IF((BD$33&lt;$H40+$I40),(IF(BD$33&gt;$H40,$A40,"")),""))),"")</f>
        <v/>
      </c>
      <c r="BE40" s="154">
        <f>IFERROR(IF($H40+$I40=BE$33,$A40,(IF((BE$33&lt;$H40+$I40),(IF(BE$33&gt;$H40,$A40,"")),""))),"")</f>
        <v/>
      </c>
      <c r="BF40" s="42">
        <f>IFERROR(IF($H40+$I40=BF$33,$A40,(IF((BF$33&lt;$H40+$I40),(IF(BF$33&gt;$H40,$A40,"")),""))),"")</f>
        <v/>
      </c>
      <c r="BG40" s="42">
        <f>IFERROR(IF($H40+$I40=BG$33,$A40,(IF((BG$33&lt;$H40+$I40),(IF(BG$33&gt;$H40,$A40,"")),""))),"")</f>
        <v/>
      </c>
      <c r="BH40" s="42">
        <f>IFERROR(IF($H40+$I40=BH$33,$A40,(IF((BH$33&lt;$H40+$I40),(IF(BH$33&gt;$H40,$A40,"")),""))),"")</f>
        <v/>
      </c>
      <c r="BI40" s="42">
        <f>IFERROR(IF($H40+$I40=BI$33,$A40,(IF((BI$33&lt;$H40+$I40),(IF(BI$33&gt;$H40,$A40,"")),""))),"")</f>
        <v/>
      </c>
      <c r="BJ40" s="42">
        <f>IFERROR(IF($H40+$I40=BJ$33,$A40,(IF((BJ$33&lt;$H40+$I40),(IF(BJ$33&gt;$H40,$A40,"")),""))),"")</f>
        <v/>
      </c>
      <c r="BK40" s="42">
        <f>IFERROR(IF($H40+$I40=BK$33,$A40,(IF((BK$33&lt;$H40+$I40),(IF(BK$33&gt;$H40,$A40,"")),""))),"")</f>
        <v/>
      </c>
      <c r="BL40" s="42">
        <f>IFERROR(IF($H40+$I40=BL$33,$A40,(IF((BL$33&lt;$H40+$I40),(IF(BL$33&gt;$H40,$A40,"")),""))),"")</f>
        <v/>
      </c>
      <c r="BM40" s="42">
        <f>IFERROR(IF($H40+$I40=BM$33,$A40,(IF((BM$33&lt;$H40+$I40),(IF(BM$33&gt;$H40,$A40,"")),""))),"")</f>
        <v/>
      </c>
      <c r="BN40" s="42">
        <f>IFERROR(IF($H40+$I40=BN$33,$A40,(IF((BN$33&lt;$H40+$I40),(IF(BN$33&gt;$H40,$A40,"")),""))),"")</f>
        <v/>
      </c>
      <c r="BO40" s="42">
        <f>IFERROR(IF($H40+$I40=BO$33,$A40,(IF((BO$33&lt;$H40+$I40),(IF(BO$33&gt;$H40,$A40,"")),""))),"")</f>
        <v/>
      </c>
      <c r="BP40" s="42">
        <f>IFERROR(IF($H40+$I40=BP$33,$A40,(IF((BP$33&lt;$H40+$I40),(IF(BP$33&gt;$H40,$A40,"")),""))),"")</f>
        <v/>
      </c>
      <c r="BQ40" s="42">
        <f>IFERROR(IF($H40+$I40=BQ$33,$A40,(IF((BQ$33&lt;$H40+$I40),(IF(BQ$33&gt;$H40,$A40,"")),""))),"")</f>
        <v/>
      </c>
      <c r="BR40" s="42">
        <f>IFERROR(IF($H40+$I40=BR$33,$A40,(IF((BR$33&lt;$H40+$I40),(IF(BR$33&gt;$H40,$A40,"")),""))),"")</f>
        <v/>
      </c>
      <c r="BS40" s="42">
        <f>IFERROR(IF($H40+$I40=BS$33,$A40,(IF((BS$33&lt;$H40+$I40),(IF(BS$33&gt;$H40,$A40,"")),""))),"")</f>
        <v/>
      </c>
      <c r="BT40" s="42">
        <f>IFERROR(IF($H40+$I40=BT$33,$A40,(IF((BT$33&lt;$H40+$I40),(IF(BT$33&gt;$H40,$A40,"")),""))),"")</f>
        <v/>
      </c>
      <c r="BU40" s="42">
        <f>IFERROR(IF($H40+$I40=BU$33,$A40,(IF((BU$33&lt;$H40+$I40),(IF(BU$33&gt;$H40,$A40,"")),""))),"")</f>
        <v/>
      </c>
      <c r="BV40" s="42">
        <f>IFERROR(IF($H40+$I40=BV$33,$A40,(IF((BV$33&lt;$H40+$I40),(IF(BV$33&gt;$H40,$A40,"")),""))),"")</f>
        <v/>
      </c>
      <c r="BW40" s="42">
        <f>IFERROR(IF($H40+$I40=BW$33,$A40,(IF((BW$33&lt;$H40+$I40),(IF(BW$33&gt;$H40,$A40,"")),""))),"")</f>
        <v/>
      </c>
      <c r="BX40" s="42">
        <f>IFERROR(IF($H40+$I40=BX$33,$A40,(IF((BX$33&lt;$H40+$I40),(IF(BX$33&gt;$H40,$A40,"")),""))),"")</f>
        <v/>
      </c>
      <c r="BY40" s="42">
        <f>IFERROR(IF($H40+$I40=BY$33,$A40,(IF((BY$33&lt;$H40+$I40),(IF(BY$33&gt;$H40,$A40,"")),""))),"")</f>
        <v/>
      </c>
      <c r="BZ40" s="42">
        <f>IFERROR(IF($H40+$I40=BZ$33,$A40,(IF((BZ$33&lt;$H40+$I40),(IF(BZ$33&gt;$H40,$A40,"")),""))),"")</f>
        <v/>
      </c>
      <c r="CA40" s="42">
        <f>IFERROR(IF($H40+$I40=CA$33,$A40,(IF((CA$33&lt;$H40+$I40),(IF(CA$33&gt;$H40,$A40,"")),""))),"")</f>
        <v/>
      </c>
      <c r="CB40" s="42">
        <f>IFERROR(IF($H40+$I40=CB$33,$A40,(IF((CB$33&lt;$H40+$I40),(IF(CB$33&gt;$H40,$A40,"")),""))),"")</f>
        <v/>
      </c>
      <c r="CC40" s="42">
        <f>IFERROR(IF($H40+$I40=CC$33,$A40,(IF((CC$33&lt;$H40+$I40),(IF(CC$33&gt;$H40,$A40,"")),""))),"")</f>
        <v/>
      </c>
      <c r="CD40" s="42">
        <f>IFERROR(IF($H40+$I40=CD$33,$A40,(IF((CD$33&lt;$H40+$I40),(IF(CD$33&gt;$H40,$A40,"")),""))),"")</f>
        <v/>
      </c>
      <c r="CE40" s="42">
        <f>IFERROR(IF($H40+$I40=CE$33,$A40,(IF((CE$33&lt;$H40+$I40),(IF(CE$33&gt;$H40,$A40,"")),""))),"")</f>
        <v/>
      </c>
      <c r="CF40" s="42">
        <f>IFERROR(IF($H40+$I40=CF$33,$A40,(IF((CF$33&lt;$H40+$I40),(IF(CF$33&gt;$H40,$A40,"")),""))),"")</f>
        <v/>
      </c>
      <c r="CG40" s="42">
        <f>IFERROR(IF($H40+$I40=CG$33,$A40,(IF((CG$33&lt;$H40+$I40),(IF(CG$33&gt;$H40,$A40,"")),""))),"")</f>
        <v/>
      </c>
      <c r="CH40" s="42">
        <f>IFERROR(IF($H40+$I40=CH$33,$A40,(IF((CH$33&lt;$H40+$I40),(IF(CH$33&gt;$H40,$A40,"")),""))),"")</f>
        <v/>
      </c>
      <c r="CI40" s="42">
        <f>IFERROR(IF($H40+$I40=CI$33,$A40,(IF((CI$33&lt;$H40+$I40),(IF(CI$33&gt;$H40,$A40,"")),""))),"")</f>
        <v/>
      </c>
      <c r="CJ40" s="42">
        <f>IFERROR(IF($H40+$I40=CJ$33,$A40,(IF((CJ$33&lt;$H40+$I40),(IF(CJ$33&gt;$H40,$A40,"")),""))),"")</f>
        <v/>
      </c>
      <c r="CK40" s="42">
        <f>IFERROR(IF($H40+$I40=CK$33,$A40,(IF((CK$33&lt;$H40+$I40),(IF(CK$33&gt;$H40,$A40,"")),""))),"")</f>
        <v/>
      </c>
      <c r="CL40" s="42">
        <f>IFERROR(IF($H40+$I40=CL$33,$A40,(IF((CL$33&lt;$H40+$I40),(IF(CL$33&gt;$H40,$A40,"")),""))),"")</f>
        <v/>
      </c>
      <c r="CM40" s="42">
        <f>IFERROR(IF($H40+$I40=CM$33,$A40,(IF((CM$33&lt;$H40+$I40),(IF(CM$33&gt;$H40,$A40,"")),""))),"")</f>
        <v/>
      </c>
      <c r="CN40" s="42">
        <f>IFERROR(IF($H40+$I40=CN$33,$A40,(IF((CN$33&lt;$H40+$I40),(IF(CN$33&gt;$H40,$A40,"")),""))),"")</f>
        <v/>
      </c>
      <c r="CO40" s="42">
        <f>IFERROR(IF($H40+$I40=CO$33,$A40,(IF((CO$33&lt;$H40+$I40),(IF(CO$33&gt;$H40,$A40,"")),""))),"")</f>
        <v/>
      </c>
      <c r="CP40" s="42">
        <f>IFERROR(IF($H40+$I40=CP$33,$A40,(IF((CP$33&lt;$H40+$I40),(IF(CP$33&gt;$H40,$A40,"")),""))),"")</f>
        <v/>
      </c>
      <c r="CQ40" s="42">
        <f>IFERROR(IF($H40+$I40=CQ$33,$A40,(IF((CQ$33&lt;$H40+$I40),(IF(CQ$33&gt;$H40,$A40,"")),""))),"")</f>
        <v/>
      </c>
      <c r="CR40" s="42">
        <f>IFERROR(IF($H40+$I40=CR$33,$A40,(IF((CR$33&lt;$H40+$I40),(IF(CR$33&gt;$H40,$A40,"")),""))),"")</f>
        <v/>
      </c>
      <c r="CS40" s="42">
        <f>IFERROR(IF($H40+$I40=CS$33,$A40,(IF((CS$33&lt;$H40+$I40),(IF(CS$33&gt;$H40,$A40,"")),""))),"")</f>
        <v/>
      </c>
      <c r="CT40" s="42">
        <f>IFERROR(IF($H40+$I40=CT$33,$A40,(IF((CT$33&lt;$H40+$I40),(IF(CT$33&gt;$H40,$A40,"")),""))),"")</f>
        <v/>
      </c>
      <c r="CU40" s="42">
        <f>IFERROR(IF($H40+$I40=CU$33,$A40,(IF((CU$33&lt;$H40+$I40),(IF(CU$33&gt;$H40,$A40,"")),""))),"")</f>
        <v/>
      </c>
      <c r="CV40" s="42">
        <f>IFERROR(IF($H40+$I40=CV$33,$A40,(IF((CV$33&lt;$H40+$I40),(IF(CV$33&gt;$H40,$A40,"")),""))),"")</f>
        <v/>
      </c>
      <c r="CW40" s="42">
        <f>IFERROR(IF($H40+$I40=CW$33,$A40,(IF((CW$33&lt;$H40+$I40),(IF(CW$33&gt;$H40,$A40,"")),""))),"")</f>
        <v/>
      </c>
      <c r="CX40" s="42">
        <f>IFERROR(IF($H40+$I40=CX$33,$A40,(IF((CX$33&lt;$H40+$I40),(IF(CX$33&gt;$H40,$A40,"")),""))),"")</f>
        <v/>
      </c>
      <c r="CY40" s="42">
        <f>IFERROR(IF($H40+$I40=CY$33,$A40,(IF((CY$33&lt;$H40+$I40),(IF(CY$33&gt;$H40,$A40,"")),""))),"")</f>
        <v/>
      </c>
      <c r="CZ40" s="42">
        <f>IFERROR(IF($H40+$I40=CZ$33,$A40,(IF((CZ$33&lt;$H40+$I40),(IF(CZ$33&gt;$H40,$A40,"")),""))),"")</f>
        <v/>
      </c>
      <c r="DA40" s="43">
        <f>IFERROR(IF($H40+$I40=DA$33,$A40,(IF((DA$33&lt;$H40+$I40),(IF(DA$33&gt;$H40,$A40,"")),""))),"")</f>
        <v/>
      </c>
    </row>
    <row r="41" hidden="1" outlineLevel="2" ht="14.4" customHeight="1">
      <c r="A41" s="32" t="n">
        <v>3</v>
      </c>
      <c r="B41" s="536" t="n"/>
      <c r="C41" s="542" t="n"/>
      <c r="D41" s="342" t="inlineStr">
        <is>
          <t xml:space="preserve">R2 : User Acceptance Testing     </t>
        </is>
      </c>
      <c r="E41" s="30" t="n"/>
      <c r="F41" s="30" t="n"/>
      <c r="G41" s="218" t="inlineStr">
        <is>
          <t>UAT</t>
        </is>
      </c>
      <c r="H41" s="222">
        <f>H40+I40</f>
        <v/>
      </c>
      <c r="I41" s="252" t="n">
        <v>0</v>
      </c>
      <c r="J41" s="42">
        <f>IFERROR(IF($H41+$I41=J$33,$A41,(IF((J$33&lt;$H41+$I41),(IF(J$33&gt;$H41,$A41,"")),""))),"")</f>
        <v/>
      </c>
      <c r="K41" s="42">
        <f>IFERROR(IF($H41+$I41=K$33,$A41,(IF((K$33&lt;$H41+$I41),(IF(K$33&gt;$H41,$A41,"")),""))),"")</f>
        <v/>
      </c>
      <c r="L41" s="42">
        <f>IFERROR(IF($H41+$I41=L$33,$A41,(IF((L$33&lt;$H41+$I41),(IF(L$33&gt;$H41,$A41,"")),""))),"")</f>
        <v/>
      </c>
      <c r="M41" s="42">
        <f>IFERROR(IF($H41+$I41=M$33,$A41,(IF((M$33&lt;$H41+$I41),(IF(M$33&gt;$H41,$A41,"")),""))),"")</f>
        <v/>
      </c>
      <c r="N41" s="42">
        <f>IFERROR(IF($H41+$I41=N$33,$A41,(IF((N$33&lt;$H41+$I41),(IF(N$33&gt;$H41,$A41,"")),""))),"")</f>
        <v/>
      </c>
      <c r="O41" s="42">
        <f>IFERROR(IF($H41+$I41=O$33,$A41,(IF((O$33&lt;$H41+$I41),(IF(O$33&gt;$H41,$A41,"")),""))),"")</f>
        <v/>
      </c>
      <c r="P41" s="42">
        <f>IFERROR(IF($H41+$I41=P$33,$A41,(IF((P$33&lt;$H41+$I41),(IF(P$33&gt;$H41,$A41,"")),""))),"")</f>
        <v/>
      </c>
      <c r="Q41" s="42">
        <f>IFERROR(IF($H41+$I41=Q$33,$A41,(IF((Q$33&lt;$H41+$I41),(IF(Q$33&gt;$H41,$A41,"")),""))),"")</f>
        <v/>
      </c>
      <c r="R41" s="42">
        <f>IFERROR(IF($H41+$I41=R$33,$A41,(IF((R$33&lt;$H41+$I41),(IF(R$33&gt;$H41,$A41,"")),""))),"")</f>
        <v/>
      </c>
      <c r="S41" s="42">
        <f>IFERROR(IF($H41+$I41=S$33,$A41,(IF((S$33&lt;$H41+$I41),(IF(S$33&gt;$H41,$A41,"")),""))),"")</f>
        <v/>
      </c>
      <c r="T41" s="42">
        <f>IFERROR(IF($H41+$I41=T$33,$A41,(IF((T$33&lt;$H41+$I41),(IF(T$33&gt;$H41,$A41,"")),""))),"")</f>
        <v/>
      </c>
      <c r="U41" s="42">
        <f>IFERROR(IF($H41+$I41=U$33,$A41,(IF((U$33&lt;$H41+$I41),(IF(U$33&gt;$H41,$A41,"")),""))),"")</f>
        <v/>
      </c>
      <c r="V41" s="42">
        <f>IFERROR(IF($H41+$I41=V$33,$A41,(IF((V$33&lt;$H41+$I41),(IF(V$33&gt;$H41,$A41,"")),""))),"")</f>
        <v/>
      </c>
      <c r="W41" s="42">
        <f>IFERROR(IF($H41+$I41=W$33,$A41,(IF((W$33&lt;$H41+$I41),(IF(W$33&gt;$H41,$A41,"")),""))),"")</f>
        <v/>
      </c>
      <c r="X41" s="42">
        <f>IFERROR(IF($H41+$I41=X$33,$A41,(IF((X$33&lt;$H41+$I41),(IF(X$33&gt;$H41,$A41,"")),""))),"")</f>
        <v/>
      </c>
      <c r="Y41" s="42">
        <f>IFERROR(IF($H41+$I41=Y$33,$A41,(IF((Y$33&lt;$H41+$I41),(IF(Y$33&gt;$H41,$A41,"")),""))),"")</f>
        <v/>
      </c>
      <c r="Z41" s="42">
        <f>IFERROR(IF($H41+$I41=Z$33,$A41,(IF((Z$33&lt;$H41+$I41),(IF(Z$33&gt;$H41,$A41,"")),""))),"")</f>
        <v/>
      </c>
      <c r="AA41" s="42">
        <f>IFERROR(IF($H41+$I41=AA$33,$A41,(IF((AA$33&lt;$H41+$I41),(IF(AA$33&gt;$H41,$A41,"")),""))),"")</f>
        <v/>
      </c>
      <c r="AB41" s="42">
        <f>IFERROR(IF($H41+$I41=AB$33,$A41,(IF((AB$33&lt;$H41+$I41),(IF(AB$33&gt;$H41,$A41,"")),""))),"")</f>
        <v/>
      </c>
      <c r="AC41" s="42">
        <f>IFERROR(IF($H41+$I41=AC$33,$A41,(IF((AC$33&lt;$H41+$I41),(IF(AC$33&gt;$H41,$A41,"")),""))),"")</f>
        <v/>
      </c>
      <c r="AD41" s="42">
        <f>IFERROR(IF($H41+$I41=AD$33,$A41,(IF((AD$33&lt;$H41+$I41),(IF(AD$33&gt;$H41,$A41,"")),""))),"")</f>
        <v/>
      </c>
      <c r="AE41" s="42">
        <f>IFERROR(IF($H41+$I41=AE$33,$A41,(IF((AE$33&lt;$H41+$I41),(IF(AE$33&gt;$H41,$A41,"")),""))),"")</f>
        <v/>
      </c>
      <c r="AF41" s="42">
        <f>IFERROR(IF($H41+$I41=AF$33,$A41,(IF((AF$33&lt;$H41+$I41),(IF(AF$33&gt;$H41,$A41,"")),""))),"")</f>
        <v/>
      </c>
      <c r="AG41" s="42">
        <f>IFERROR(IF($H41+$I41=AG$33,$A41,(IF((AG$33&lt;$H41+$I41),(IF(AG$33&gt;$H41,$A41,"")),""))),"")</f>
        <v/>
      </c>
      <c r="AH41" s="42">
        <f>IFERROR(IF($H41+$I41=AH$33,$A41,(IF((AH$33&lt;$H41+$I41),(IF(AH$33&gt;$H41,$A41,"")),""))),"")</f>
        <v/>
      </c>
      <c r="AI41" s="42">
        <f>IFERROR(IF($H41+$I41=AI$33,$A41,(IF((AI$33&lt;$H41+$I41),(IF(AI$33&gt;$H41,$A41,"")),""))),"")</f>
        <v/>
      </c>
      <c r="AJ41" s="42">
        <f>IFERROR(IF($H41+$I41=AJ$33,$A41,(IF((AJ$33&lt;$H41+$I41),(IF(AJ$33&gt;$H41,$A41,"")),""))),"")</f>
        <v/>
      </c>
      <c r="AK41" s="42">
        <f>IFERROR(IF($H41+$I41=AK$33,$A41,(IF((AK$33&lt;$H41+$I41),(IF(AK$33&gt;$H41,$A41,"")),""))),"")</f>
        <v/>
      </c>
      <c r="AL41" s="42">
        <f>IFERROR(IF($H41+$I41=AL$33,$A41,(IF((AL$33&lt;$H41+$I41),(IF(AL$33&gt;$H41,$A41,"")),""))),"")</f>
        <v/>
      </c>
      <c r="AM41" s="42">
        <f>IFERROR(IF($H41+$I41=AM$33,$A41,(IF((AM$33&lt;$H41+$I41),(IF(AM$33&gt;$H41,$A41,"")),""))),"")</f>
        <v/>
      </c>
      <c r="AN41" s="42">
        <f>IFERROR(IF($H41+$I41=AN$33,$A41,(IF((AN$33&lt;$H41+$I41),(IF(AN$33&gt;$H41,$A41,"")),""))),"")</f>
        <v/>
      </c>
      <c r="AO41" s="42">
        <f>IFERROR(IF($H41+$I41=AO$33,$A41,(IF((AO$33&lt;$H41+$I41),(IF(AO$33&gt;$H41,$A41,"")),""))),"")</f>
        <v/>
      </c>
      <c r="AP41" s="42">
        <f>IFERROR(IF($H41+$I41=AP$33,$A41,(IF((AP$33&lt;$H41+$I41),(IF(AP$33&gt;$H41,$A41,"")),""))),"")</f>
        <v/>
      </c>
      <c r="AQ41" s="42">
        <f>IFERROR(IF($H41+$I41=AQ$33,$A41,(IF((AQ$33&lt;$H41+$I41),(IF(AQ$33&gt;$H41,$A41,"")),""))),"")</f>
        <v/>
      </c>
      <c r="AR41" s="42">
        <f>IFERROR(IF($H41+$I41=AR$33,$A41,(IF((AR$33&lt;$H41+$I41),(IF(AR$33&gt;$H41,$A41,"")),""))),"")</f>
        <v/>
      </c>
      <c r="AS41" s="42">
        <f>IFERROR(IF($H41+$I41=AS$33,$A41,(IF((AS$33&lt;$H41+$I41),(IF(AS$33&gt;$H41,$A41,"")),""))),"")</f>
        <v/>
      </c>
      <c r="AT41" s="42">
        <f>IFERROR(IF($H41+$I41=AT$33,$A41,(IF((AT$33&lt;$H41+$I41),(IF(AT$33&gt;$H41,$A41,"")),""))),"")</f>
        <v/>
      </c>
      <c r="AU41" s="42">
        <f>IFERROR(IF($H41+$I41=AU$33,$A41,(IF((AU$33&lt;$H41+$I41),(IF(AU$33&gt;$H41,$A41,"")),""))),"")</f>
        <v/>
      </c>
      <c r="AV41" s="42">
        <f>IFERROR(IF($H41+$I41=AV$33,$A41,(IF((AV$33&lt;$H41+$I41),(IF(AV$33&gt;$H41,$A41,"")),""))),"")</f>
        <v/>
      </c>
      <c r="AW41" s="42">
        <f>IFERROR(IF($H41+$I41=AW$33,$A41,(IF((AW$33&lt;$H41+$I41),(IF(AW$33&gt;$H41,$A41,"")),""))),"")</f>
        <v/>
      </c>
      <c r="AX41" s="42">
        <f>IFERROR(IF($H41+$I41=AX$33,$A41,(IF((AX$33&lt;$H41+$I41),(IF(AX$33&gt;$H41,$A41,"")),""))),"")</f>
        <v/>
      </c>
      <c r="AY41" s="42">
        <f>IFERROR(IF($H41+$I41=AY$33,$A41,(IF((AY$33&lt;$H41+$I41),(IF(AY$33&gt;$H41,$A41,"")),""))),"")</f>
        <v/>
      </c>
      <c r="AZ41" s="42">
        <f>IFERROR(IF($H41+$I41=AZ$33,$A41,(IF((AZ$33&lt;$H41+$I41),(IF(AZ$33&gt;$H41,$A41,"")),""))),"")</f>
        <v/>
      </c>
      <c r="BA41" s="42">
        <f>IFERROR(IF($H41+$I41=BA$33,$A41,(IF((BA$33&lt;$H41+$I41),(IF(BA$33&gt;$H41,$A41,"")),""))),"")</f>
        <v/>
      </c>
      <c r="BB41" s="42">
        <f>IFERROR(IF($H41+$I41=BB$33,$A41,(IF((BB$33&lt;$H41+$I41),(IF(BB$33&gt;$H41,$A41,"")),""))),"")</f>
        <v/>
      </c>
      <c r="BC41" s="42">
        <f>IFERROR(IF($H41+$I41=BC$33,$A41,(IF((BC$33&lt;$H41+$I41),(IF(BC$33&gt;$H41,$A41,"")),""))),"")</f>
        <v/>
      </c>
      <c r="BD41" s="42">
        <f>IFERROR(IF($H41+$I41=BD$33,$A41,(IF((BD$33&lt;$H41+$I41),(IF(BD$33&gt;$H41,$A41,"")),""))),"")</f>
        <v/>
      </c>
      <c r="BE41" s="154">
        <f>IFERROR(IF($H41+$I41=BE$33,$A41,(IF((BE$33&lt;$H41+$I41),(IF(BE$33&gt;$H41,$A41,"")),""))),"")</f>
        <v/>
      </c>
      <c r="BF41" s="42">
        <f>IFERROR(IF($H41+$I41=BF$33,$A41,(IF((BF$33&lt;$H41+$I41),(IF(BF$33&gt;$H41,$A41,"")),""))),"")</f>
        <v/>
      </c>
      <c r="BG41" s="42">
        <f>IFERROR(IF($H41+$I41=BG$33,$A41,(IF((BG$33&lt;$H41+$I41),(IF(BG$33&gt;$H41,$A41,"")),""))),"")</f>
        <v/>
      </c>
      <c r="BH41" s="42">
        <f>IFERROR(IF($H41+$I41=BH$33,$A41,(IF((BH$33&lt;$H41+$I41),(IF(BH$33&gt;$H41,$A41,"")),""))),"")</f>
        <v/>
      </c>
      <c r="BI41" s="42">
        <f>IFERROR(IF($H41+$I41=BI$33,$A41,(IF((BI$33&lt;$H41+$I41),(IF(BI$33&gt;$H41,$A41,"")),""))),"")</f>
        <v/>
      </c>
      <c r="BJ41" s="42">
        <f>IFERROR(IF($H41+$I41=BJ$33,$A41,(IF((BJ$33&lt;$H41+$I41),(IF(BJ$33&gt;$H41,$A41,"")),""))),"")</f>
        <v/>
      </c>
      <c r="BK41" s="42">
        <f>IFERROR(IF($H41+$I41=BK$33,$A41,(IF((BK$33&lt;$H41+$I41),(IF(BK$33&gt;$H41,$A41,"")),""))),"")</f>
        <v/>
      </c>
      <c r="BL41" s="42">
        <f>IFERROR(IF($H41+$I41=BL$33,$A41,(IF((BL$33&lt;$H41+$I41),(IF(BL$33&gt;$H41,$A41,"")),""))),"")</f>
        <v/>
      </c>
      <c r="BM41" s="42">
        <f>IFERROR(IF($H41+$I41=BM$33,$A41,(IF((BM$33&lt;$H41+$I41),(IF(BM$33&gt;$H41,$A41,"")),""))),"")</f>
        <v/>
      </c>
      <c r="BN41" s="42">
        <f>IFERROR(IF($H41+$I41=BN$33,$A41,(IF((BN$33&lt;$H41+$I41),(IF(BN$33&gt;$H41,$A41,"")),""))),"")</f>
        <v/>
      </c>
      <c r="BO41" s="42">
        <f>IFERROR(IF($H41+$I41=BO$33,$A41,(IF((BO$33&lt;$H41+$I41),(IF(BO$33&gt;$H41,$A41,"")),""))),"")</f>
        <v/>
      </c>
      <c r="BP41" s="42">
        <f>IFERROR(IF($H41+$I41=BP$33,$A41,(IF((BP$33&lt;$H41+$I41),(IF(BP$33&gt;$H41,$A41,"")),""))),"")</f>
        <v/>
      </c>
      <c r="BQ41" s="42">
        <f>IFERROR(IF($H41+$I41=BQ$33,$A41,(IF((BQ$33&lt;$H41+$I41),(IF(BQ$33&gt;$H41,$A41,"")),""))),"")</f>
        <v/>
      </c>
      <c r="BR41" s="42">
        <f>IFERROR(IF($H41+$I41=BR$33,$A41,(IF((BR$33&lt;$H41+$I41),(IF(BR$33&gt;$H41,$A41,"")),""))),"")</f>
        <v/>
      </c>
      <c r="BS41" s="42">
        <f>IFERROR(IF($H41+$I41=BS$33,$A41,(IF((BS$33&lt;$H41+$I41),(IF(BS$33&gt;$H41,$A41,"")),""))),"")</f>
        <v/>
      </c>
      <c r="BT41" s="42">
        <f>IFERROR(IF($H41+$I41=BT$33,$A41,(IF((BT$33&lt;$H41+$I41),(IF(BT$33&gt;$H41,$A41,"")),""))),"")</f>
        <v/>
      </c>
      <c r="BU41" s="42">
        <f>IFERROR(IF($H41+$I41=BU$33,$A41,(IF((BU$33&lt;$H41+$I41),(IF(BU$33&gt;$H41,$A41,"")),""))),"")</f>
        <v/>
      </c>
      <c r="BV41" s="42">
        <f>IFERROR(IF($H41+$I41=BV$33,$A41,(IF((BV$33&lt;$H41+$I41),(IF(BV$33&gt;$H41,$A41,"")),""))),"")</f>
        <v/>
      </c>
      <c r="BW41" s="42">
        <f>IFERROR(IF($H41+$I41=BW$33,$A41,(IF((BW$33&lt;$H41+$I41),(IF(BW$33&gt;$H41,$A41,"")),""))),"")</f>
        <v/>
      </c>
      <c r="BX41" s="42">
        <f>IFERROR(IF($H41+$I41=BX$33,$A41,(IF((BX$33&lt;$H41+$I41),(IF(BX$33&gt;$H41,$A41,"")),""))),"")</f>
        <v/>
      </c>
      <c r="BY41" s="42">
        <f>IFERROR(IF($H41+$I41=BY$33,$A41,(IF((BY$33&lt;$H41+$I41),(IF(BY$33&gt;$H41,$A41,"")),""))),"")</f>
        <v/>
      </c>
      <c r="BZ41" s="42">
        <f>IFERROR(IF($H41+$I41=BZ$33,$A41,(IF((BZ$33&lt;$H41+$I41),(IF(BZ$33&gt;$H41,$A41,"")),""))),"")</f>
        <v/>
      </c>
      <c r="CA41" s="42">
        <f>IFERROR(IF($H41+$I41=CA$33,$A41,(IF((CA$33&lt;$H41+$I41),(IF(CA$33&gt;$H41,$A41,"")),""))),"")</f>
        <v/>
      </c>
      <c r="CB41" s="42">
        <f>IFERROR(IF($H41+$I41=CB$33,$A41,(IF((CB$33&lt;$H41+$I41),(IF(CB$33&gt;$H41,$A41,"")),""))),"")</f>
        <v/>
      </c>
      <c r="CC41" s="42">
        <f>IFERROR(IF($H41+$I41=CC$33,$A41,(IF((CC$33&lt;$H41+$I41),(IF(CC$33&gt;$H41,$A41,"")),""))),"")</f>
        <v/>
      </c>
      <c r="CD41" s="42">
        <f>IFERROR(IF($H41+$I41=CD$33,$A41,(IF((CD$33&lt;$H41+$I41),(IF(CD$33&gt;$H41,$A41,"")),""))),"")</f>
        <v/>
      </c>
      <c r="CE41" s="42">
        <f>IFERROR(IF($H41+$I41=CE$33,$A41,(IF((CE$33&lt;$H41+$I41),(IF(CE$33&gt;$H41,$A41,"")),""))),"")</f>
        <v/>
      </c>
      <c r="CF41" s="42">
        <f>IFERROR(IF($H41+$I41=CF$33,$A41,(IF((CF$33&lt;$H41+$I41),(IF(CF$33&gt;$H41,$A41,"")),""))),"")</f>
        <v/>
      </c>
      <c r="CG41" s="42">
        <f>IFERROR(IF($H41+$I41=CG$33,$A41,(IF((CG$33&lt;$H41+$I41),(IF(CG$33&gt;$H41,$A41,"")),""))),"")</f>
        <v/>
      </c>
      <c r="CH41" s="42">
        <f>IFERROR(IF($H41+$I41=CH$33,$A41,(IF((CH$33&lt;$H41+$I41),(IF(CH$33&gt;$H41,$A41,"")),""))),"")</f>
        <v/>
      </c>
      <c r="CI41" s="42">
        <f>IFERROR(IF($H41+$I41=CI$33,$A41,(IF((CI$33&lt;$H41+$I41),(IF(CI$33&gt;$H41,$A41,"")),""))),"")</f>
        <v/>
      </c>
      <c r="CJ41" s="42">
        <f>IFERROR(IF($H41+$I41=CJ$33,$A41,(IF((CJ$33&lt;$H41+$I41),(IF(CJ$33&gt;$H41,$A41,"")),""))),"")</f>
        <v/>
      </c>
      <c r="CK41" s="42">
        <f>IFERROR(IF($H41+$I41=CK$33,$A41,(IF((CK$33&lt;$H41+$I41),(IF(CK$33&gt;$H41,$A41,"")),""))),"")</f>
        <v/>
      </c>
      <c r="CL41" s="42">
        <f>IFERROR(IF($H41+$I41=CL$33,$A41,(IF((CL$33&lt;$H41+$I41),(IF(CL$33&gt;$H41,$A41,"")),""))),"")</f>
        <v/>
      </c>
      <c r="CM41" s="42">
        <f>IFERROR(IF($H41+$I41=CM$33,$A41,(IF((CM$33&lt;$H41+$I41),(IF(CM$33&gt;$H41,$A41,"")),""))),"")</f>
        <v/>
      </c>
      <c r="CN41" s="42">
        <f>IFERROR(IF($H41+$I41=CN$33,$A41,(IF((CN$33&lt;$H41+$I41),(IF(CN$33&gt;$H41,$A41,"")),""))),"")</f>
        <v/>
      </c>
      <c r="CO41" s="42">
        <f>IFERROR(IF($H41+$I41=CO$33,$A41,(IF((CO$33&lt;$H41+$I41),(IF(CO$33&gt;$H41,$A41,"")),""))),"")</f>
        <v/>
      </c>
      <c r="CP41" s="42">
        <f>IFERROR(IF($H41+$I41=CP$33,$A41,(IF((CP$33&lt;$H41+$I41),(IF(CP$33&gt;$H41,$A41,"")),""))),"")</f>
        <v/>
      </c>
      <c r="CQ41" s="42">
        <f>IFERROR(IF($H41+$I41=CQ$33,$A41,(IF((CQ$33&lt;$H41+$I41),(IF(CQ$33&gt;$H41,$A41,"")),""))),"")</f>
        <v/>
      </c>
      <c r="CR41" s="42">
        <f>IFERROR(IF($H41+$I41=CR$33,$A41,(IF((CR$33&lt;$H41+$I41),(IF(CR$33&gt;$H41,$A41,"")),""))),"")</f>
        <v/>
      </c>
      <c r="CS41" s="42">
        <f>IFERROR(IF($H41+$I41=CS$33,$A41,(IF((CS$33&lt;$H41+$I41),(IF(CS$33&gt;$H41,$A41,"")),""))),"")</f>
        <v/>
      </c>
      <c r="CT41" s="42">
        <f>IFERROR(IF($H41+$I41=CT$33,$A41,(IF((CT$33&lt;$H41+$I41),(IF(CT$33&gt;$H41,$A41,"")),""))),"")</f>
        <v/>
      </c>
      <c r="CU41" s="42">
        <f>IFERROR(IF($H41+$I41=CU$33,$A41,(IF((CU$33&lt;$H41+$I41),(IF(CU$33&gt;$H41,$A41,"")),""))),"")</f>
        <v/>
      </c>
      <c r="CV41" s="42">
        <f>IFERROR(IF($H41+$I41=CV$33,$A41,(IF((CV$33&lt;$H41+$I41),(IF(CV$33&gt;$H41,$A41,"")),""))),"")</f>
        <v/>
      </c>
      <c r="CW41" s="42">
        <f>IFERROR(IF($H41+$I41=CW$33,$A41,(IF((CW$33&lt;$H41+$I41),(IF(CW$33&gt;$H41,$A41,"")),""))),"")</f>
        <v/>
      </c>
      <c r="CX41" s="42">
        <f>IFERROR(IF($H41+$I41=CX$33,$A41,(IF((CX$33&lt;$H41+$I41),(IF(CX$33&gt;$H41,$A41,"")),""))),"")</f>
        <v/>
      </c>
      <c r="CY41" s="42">
        <f>IFERROR(IF($H41+$I41=CY$33,$A41,(IF((CY$33&lt;$H41+$I41),(IF(CY$33&gt;$H41,$A41,"")),""))),"")</f>
        <v/>
      </c>
      <c r="CZ41" s="42">
        <f>IFERROR(IF($H41+$I41=CZ$33,$A41,(IF((CZ$33&lt;$H41+$I41),(IF(CZ$33&gt;$H41,$A41,"")),""))),"")</f>
        <v/>
      </c>
      <c r="DA41" s="43">
        <f>IFERROR(IF($H41+$I41=DA$33,$A41,(IF((DA$33&lt;$H41+$I41),(IF(DA$33&gt;$H41,$A41,"")),""))),"")</f>
        <v/>
      </c>
    </row>
    <row r="42" hidden="1" outlineLevel="2">
      <c r="A42" s="32" t="n">
        <v>3</v>
      </c>
      <c r="B42" s="536" t="n"/>
      <c r="C42" s="542" t="n"/>
      <c r="D42" s="273" t="inlineStr">
        <is>
          <t xml:space="preserve">R2 : Go Live </t>
        </is>
      </c>
      <c r="E42" s="30" t="n"/>
      <c r="F42" s="30" t="n"/>
      <c r="G42" s="78" t="n"/>
      <c r="H42" s="222">
        <f>H41+I41</f>
        <v/>
      </c>
      <c r="I42" s="252" t="n">
        <v>0</v>
      </c>
      <c r="J42" s="42">
        <f>IFERROR(IF($H42+$I42=J$33,$A42,(IF((J$33&lt;$H42+$I42),(IF(J$33&gt;$H42,$A42,"")),""))),"")</f>
        <v/>
      </c>
      <c r="K42" s="42">
        <f>IFERROR(IF($H42+$I42=K$33,$A42,(IF((K$33&lt;$H42+$I42),(IF(K$33&gt;$H42,$A42,"")),""))),"")</f>
        <v/>
      </c>
      <c r="L42" s="42">
        <f>IFERROR(IF($H42+$I42=L$33,$A42,(IF((L$33&lt;$H42+$I42),(IF(L$33&gt;$H42,$A42,"")),""))),"")</f>
        <v/>
      </c>
      <c r="M42" s="42">
        <f>IFERROR(IF($H42+$I42=M$33,$A42,(IF((M$33&lt;$H42+$I42),(IF(M$33&gt;$H42,$A42,"")),""))),"")</f>
        <v/>
      </c>
      <c r="N42" s="42">
        <f>IFERROR(IF($H42+$I42=N$33,$A42,(IF((N$33&lt;$H42+$I42),(IF(N$33&gt;$H42,$A42,"")),""))),"")</f>
        <v/>
      </c>
      <c r="O42" s="42">
        <f>IFERROR(IF($H42+$I42=O$33,$A42,(IF((O$33&lt;$H42+$I42),(IF(O$33&gt;$H42,$A42,"")),""))),"")</f>
        <v/>
      </c>
      <c r="P42" s="42">
        <f>IFERROR(IF($H42+$I42=P$33,$A42,(IF((P$33&lt;$H42+$I42),(IF(P$33&gt;$H42,$A42,"")),""))),"")</f>
        <v/>
      </c>
      <c r="Q42" s="42">
        <f>IFERROR(IF($H42+$I42=Q$33,$A42,(IF((Q$33&lt;$H42+$I42),(IF(Q$33&gt;$H42,$A42,"")),""))),"")</f>
        <v/>
      </c>
      <c r="R42" s="42">
        <f>IFERROR(IF($H42+$I42=R$33,$A42,(IF((R$33&lt;$H42+$I42),(IF(R$33&gt;$H42,$A42,"")),""))),"")</f>
        <v/>
      </c>
      <c r="S42" s="42">
        <f>IFERROR(IF($H42+$I42=S$33,$A42,(IF((S$33&lt;$H42+$I42),(IF(S$33&gt;$H42,$A42,"")),""))),"")</f>
        <v/>
      </c>
      <c r="T42" s="42">
        <f>IFERROR(IF($H42+$I42=T$33,$A42,(IF((T$33&lt;$H42+$I42),(IF(T$33&gt;$H42,$A42,"")),""))),"")</f>
        <v/>
      </c>
      <c r="U42" s="42">
        <f>IFERROR(IF($H42+$I42=U$33,$A42,(IF((U$33&lt;$H42+$I42),(IF(U$33&gt;$H42,$A42,"")),""))),"")</f>
        <v/>
      </c>
      <c r="V42" s="42">
        <f>IFERROR(IF($H42+$I42=V$33,$A42,(IF((V$33&lt;$H42+$I42),(IF(V$33&gt;$H42,$A42,"")),""))),"")</f>
        <v/>
      </c>
      <c r="W42" s="42">
        <f>IFERROR(IF($H42+$I42=W$33,$A42,(IF((W$33&lt;$H42+$I42),(IF(W$33&gt;$H42,$A42,"")),""))),"")</f>
        <v/>
      </c>
      <c r="X42" s="42">
        <f>IFERROR(IF($H42+$I42=X$33,$A42,(IF((X$33&lt;$H42+$I42),(IF(X$33&gt;$H42,$A42,"")),""))),"")</f>
        <v/>
      </c>
      <c r="Y42" s="42">
        <f>IFERROR(IF($H42+$I42=Y$33,$A42,(IF((Y$33&lt;$H42+$I42),(IF(Y$33&gt;$H42,$A42,"")),""))),"")</f>
        <v/>
      </c>
      <c r="Z42" s="42">
        <f>IFERROR(IF($H42+$I42=Z$33,$A42,(IF((Z$33&lt;$H42+$I42),(IF(Z$33&gt;$H42,$A42,"")),""))),"")</f>
        <v/>
      </c>
      <c r="AA42" s="42">
        <f>IFERROR(IF($H42+$I42=AA$33,$A42,(IF((AA$33&lt;$H42+$I42),(IF(AA$33&gt;$H42,$A42,"")),""))),"")</f>
        <v/>
      </c>
      <c r="AB42" s="42">
        <f>IFERROR(IF($H42+$I42=AB$33,$A42,(IF((AB$33&lt;$H42+$I42),(IF(AB$33&gt;$H42,$A42,"")),""))),"")</f>
        <v/>
      </c>
      <c r="AC42" s="42">
        <f>IFERROR(IF($H42+$I42=AC$33,$A42,(IF((AC$33&lt;$H42+$I42),(IF(AC$33&gt;$H42,$A42,"")),""))),"")</f>
        <v/>
      </c>
      <c r="AD42" s="42">
        <f>IFERROR(IF($H42+$I42=AD$33,$A42,(IF((AD$33&lt;$H42+$I42),(IF(AD$33&gt;$H42,$A42,"")),""))),"")</f>
        <v/>
      </c>
      <c r="AE42" s="42">
        <f>IFERROR(IF($H42+$I42=AE$33,$A42,(IF((AE$33&lt;$H42+$I42),(IF(AE$33&gt;$H42,$A42,"")),""))),"")</f>
        <v/>
      </c>
      <c r="AF42" s="42">
        <f>IFERROR(IF($H42+$I42=AF$33,$A42,(IF((AF$33&lt;$H42+$I42),(IF(AF$33&gt;$H42,$A42,"")),""))),"")</f>
        <v/>
      </c>
      <c r="AG42" s="42">
        <f>IFERROR(IF($H42+$I42=AG$33,$A42,(IF((AG$33&lt;$H42+$I42),(IF(AG$33&gt;$H42,$A42,"")),""))),"")</f>
        <v/>
      </c>
      <c r="AH42" s="42">
        <f>IFERROR(IF($H42+$I42=AH$33,$A42,(IF((AH$33&lt;$H42+$I42),(IF(AH$33&gt;$H42,$A42,"")),""))),"")</f>
        <v/>
      </c>
      <c r="AI42" s="42">
        <f>IFERROR(IF($H42+$I42=AI$33,$A42,(IF((AI$33&lt;$H42+$I42),(IF(AI$33&gt;$H42,$A42,"")),""))),"")</f>
        <v/>
      </c>
      <c r="AJ42" s="42">
        <f>IFERROR(IF($H42+$I42=AJ$33,$A42,(IF((AJ$33&lt;$H42+$I42),(IF(AJ$33&gt;$H42,$A42,"")),""))),"")</f>
        <v/>
      </c>
      <c r="AK42" s="42">
        <f>IFERROR(IF($H42+$I42=AK$33,$A42,(IF((AK$33&lt;$H42+$I42),(IF(AK$33&gt;$H42,$A42,"")),""))),"")</f>
        <v/>
      </c>
      <c r="AL42" s="42">
        <f>IFERROR(IF($H42+$I42=AL$33,$A42,(IF((AL$33&lt;$H42+$I42),(IF(AL$33&gt;$H42,$A42,"")),""))),"")</f>
        <v/>
      </c>
      <c r="AM42" s="42">
        <f>IFERROR(IF($H42+$I42=AM$33,$A42,(IF((AM$33&lt;$H42+$I42),(IF(AM$33&gt;$H42,$A42,"")),""))),"")</f>
        <v/>
      </c>
      <c r="AN42" s="42">
        <f>IFERROR(IF($H42+$I42=AN$33,$A42,(IF((AN$33&lt;$H42+$I42),(IF(AN$33&gt;$H42,$A42,"")),""))),"")</f>
        <v/>
      </c>
      <c r="AO42" s="42">
        <f>IFERROR(IF($H42+$I42=AO$33,$A42,(IF((AO$33&lt;$H42+$I42),(IF(AO$33&gt;$H42,$A42,"")),""))),"")</f>
        <v/>
      </c>
      <c r="AP42" s="42">
        <f>IFERROR(IF($H42+$I42=AP$33,$A42,(IF((AP$33&lt;$H42+$I42),(IF(AP$33&gt;$H42,$A42,"")),""))),"")</f>
        <v/>
      </c>
      <c r="AQ42" s="42">
        <f>IFERROR(IF($H42+$I42=AQ$33,$A42,(IF((AQ$33&lt;$H42+$I42),(IF(AQ$33&gt;$H42,$A42,"")),""))),"")</f>
        <v/>
      </c>
      <c r="AR42" s="42">
        <f>IFERROR(IF($H42+$I42=AR$33,$A42,(IF((AR$33&lt;$H42+$I42),(IF(AR$33&gt;$H42,$A42,"")),""))),"")</f>
        <v/>
      </c>
      <c r="AS42" s="42">
        <f>IFERROR(IF($H42+$I42=AS$33,$A42,(IF((AS$33&lt;$H42+$I42),(IF(AS$33&gt;$H42,$A42,"")),""))),"")</f>
        <v/>
      </c>
      <c r="AT42" s="42">
        <f>IFERROR(IF($H42+$I42=AT$33,$A42,(IF((AT$33&lt;$H42+$I42),(IF(AT$33&gt;$H42,$A42,"")),""))),"")</f>
        <v/>
      </c>
      <c r="AU42" s="42">
        <f>IFERROR(IF($H42+$I42=AU$33,$A42,(IF((AU$33&lt;$H42+$I42),(IF(AU$33&gt;$H42,$A42,"")),""))),"")</f>
        <v/>
      </c>
      <c r="AV42" s="42">
        <f>IFERROR(IF($H42+$I42=AV$33,$A42,(IF((AV$33&lt;$H42+$I42),(IF(AV$33&gt;$H42,$A42,"")),""))),"")</f>
        <v/>
      </c>
      <c r="AW42" s="42">
        <f>IFERROR(IF($H42+$I42=AW$33,$A42,(IF((AW$33&lt;$H42+$I42),(IF(AW$33&gt;$H42,$A42,"")),""))),"")</f>
        <v/>
      </c>
      <c r="AX42" s="42">
        <f>IFERROR(IF($H42+$I42=AX$33,$A42,(IF((AX$33&lt;$H42+$I42),(IF(AX$33&gt;$H42,$A42,"")),""))),"")</f>
        <v/>
      </c>
      <c r="AY42" s="42">
        <f>IFERROR(IF($H42+$I42=AY$33,$A42,(IF((AY$33&lt;$H42+$I42),(IF(AY$33&gt;$H42,$A42,"")),""))),"")</f>
        <v/>
      </c>
      <c r="AZ42" s="42">
        <f>IFERROR(IF($H42+$I42=AZ$33,$A42,(IF((AZ$33&lt;$H42+$I42),(IF(AZ$33&gt;$H42,$A42,"")),""))),"")</f>
        <v/>
      </c>
      <c r="BA42" s="42">
        <f>IFERROR(IF($H42+$I42=BA$33,$A42,(IF((BA$33&lt;$H42+$I42),(IF(BA$33&gt;$H42,$A42,"")),""))),"")</f>
        <v/>
      </c>
      <c r="BB42" s="42">
        <f>IFERROR(IF($H42+$I42=BB$33,$A42,(IF((BB$33&lt;$H42+$I42),(IF(BB$33&gt;$H42,$A42,"")),""))),"")</f>
        <v/>
      </c>
      <c r="BC42" s="42">
        <f>IFERROR(IF($H42+$I42=BC$33,$A42,(IF((BC$33&lt;$H42+$I42),(IF(BC$33&gt;$H42,$A42,"")),""))),"")</f>
        <v/>
      </c>
      <c r="BD42" s="42">
        <f>IFERROR(IF($H42+$I42=BD$33,$A42,(IF((BD$33&lt;$H42+$I42),(IF(BD$33&gt;$H42,$A42,"")),""))),"")</f>
        <v/>
      </c>
      <c r="BE42" s="154">
        <f>IFERROR(IF($H42+$I42=BE$33,$A42,(IF((BE$33&lt;$H42+$I42),(IF(BE$33&gt;$H42,$A42,"")),""))),"")</f>
        <v/>
      </c>
      <c r="BF42" s="42">
        <f>IFERROR(IF($H42+$I42=BF$33,$A42,(IF((BF$33&lt;$H42+$I42),(IF(BF$33&gt;$H42,$A42,"")),""))),"")</f>
        <v/>
      </c>
      <c r="BG42" s="42">
        <f>IFERROR(IF($H42+$I42=BG$33,$A42,(IF((BG$33&lt;$H42+$I42),(IF(BG$33&gt;$H42,$A42,"")),""))),"")</f>
        <v/>
      </c>
      <c r="BH42" s="42">
        <f>IFERROR(IF($H42+$I42=BH$33,$A42,(IF((BH$33&lt;$H42+$I42),(IF(BH$33&gt;$H42,$A42,"")),""))),"")</f>
        <v/>
      </c>
      <c r="BI42" s="42">
        <f>IFERROR(IF($H42+$I42=BI$33,$A42,(IF((BI$33&lt;$H42+$I42),(IF(BI$33&gt;$H42,$A42,"")),""))),"")</f>
        <v/>
      </c>
      <c r="BJ42" s="42">
        <f>IFERROR(IF($H42+$I42=BJ$33,$A42,(IF((BJ$33&lt;$H42+$I42),(IF(BJ$33&gt;$H42,$A42,"")),""))),"")</f>
        <v/>
      </c>
      <c r="BK42" s="42">
        <f>IFERROR(IF($H42+$I42=BK$33,$A42,(IF((BK$33&lt;$H42+$I42),(IF(BK$33&gt;$H42,$A42,"")),""))),"")</f>
        <v/>
      </c>
      <c r="BL42" s="42">
        <f>IFERROR(IF($H42+$I42=BL$33,$A42,(IF((BL$33&lt;$H42+$I42),(IF(BL$33&gt;$H42,$A42,"")),""))),"")</f>
        <v/>
      </c>
      <c r="BM42" s="42">
        <f>IFERROR(IF($H42+$I42=BM$33,$A42,(IF((BM$33&lt;$H42+$I42),(IF(BM$33&gt;$H42,$A42,"")),""))),"")</f>
        <v/>
      </c>
      <c r="BN42" s="42">
        <f>IFERROR(IF($H42+$I42=BN$33,$A42,(IF((BN$33&lt;$H42+$I42),(IF(BN$33&gt;$H42,$A42,"")),""))),"")</f>
        <v/>
      </c>
      <c r="BO42" s="42">
        <f>IFERROR(IF($H42+$I42=BO$33,$A42,(IF((BO$33&lt;$H42+$I42),(IF(BO$33&gt;$H42,$A42,"")),""))),"")</f>
        <v/>
      </c>
      <c r="BP42" s="42">
        <f>IFERROR(IF($H42+$I42=BP$33,$A42,(IF((BP$33&lt;$H42+$I42),(IF(BP$33&gt;$H42,$A42,"")),""))),"")</f>
        <v/>
      </c>
      <c r="BQ42" s="42">
        <f>IFERROR(IF($H42+$I42=BQ$33,$A42,(IF((BQ$33&lt;$H42+$I42),(IF(BQ$33&gt;$H42,$A42,"")),""))),"")</f>
        <v/>
      </c>
      <c r="BR42" s="42">
        <f>IFERROR(IF($H42+$I42=BR$33,$A42,(IF((BR$33&lt;$H42+$I42),(IF(BR$33&gt;$H42,$A42,"")),""))),"")</f>
        <v/>
      </c>
      <c r="BS42" s="42">
        <f>IFERROR(IF($H42+$I42=BS$33,$A42,(IF((BS$33&lt;$H42+$I42),(IF(BS$33&gt;$H42,$A42,"")),""))),"")</f>
        <v/>
      </c>
      <c r="BT42" s="42">
        <f>IFERROR(IF($H42+$I42=BT$33,$A42,(IF((BT$33&lt;$H42+$I42),(IF(BT$33&gt;$H42,$A42,"")),""))),"")</f>
        <v/>
      </c>
      <c r="BU42" s="42">
        <f>IFERROR(IF($H42+$I42=BU$33,$A42,(IF((BU$33&lt;$H42+$I42),(IF(BU$33&gt;$H42,$A42,"")),""))),"")</f>
        <v/>
      </c>
      <c r="BV42" s="42">
        <f>IFERROR(IF($H42+$I42=BV$33,$A42,(IF((BV$33&lt;$H42+$I42),(IF(BV$33&gt;$H42,$A42,"")),""))),"")</f>
        <v/>
      </c>
      <c r="BW42" s="42">
        <f>IFERROR(IF($H42+$I42=BW$33,$A42,(IF((BW$33&lt;$H42+$I42),(IF(BW$33&gt;$H42,$A42,"")),""))),"")</f>
        <v/>
      </c>
      <c r="BX42" s="42">
        <f>IFERROR(IF($H42+$I42=BX$33,$A42,(IF((BX$33&lt;$H42+$I42),(IF(BX$33&gt;$H42,$A42,"")),""))),"")</f>
        <v/>
      </c>
      <c r="BY42" s="42">
        <f>IFERROR(IF($H42+$I42=BY$33,$A42,(IF((BY$33&lt;$H42+$I42),(IF(BY$33&gt;$H42,$A42,"")),""))),"")</f>
        <v/>
      </c>
      <c r="BZ42" s="42">
        <f>IFERROR(IF($H42+$I42=BZ$33,$A42,(IF((BZ$33&lt;$H42+$I42),(IF(BZ$33&gt;$H42,$A42,"")),""))),"")</f>
        <v/>
      </c>
      <c r="CA42" s="42">
        <f>IFERROR(IF($H42+$I42=CA$33,$A42,(IF((CA$33&lt;$H42+$I42),(IF(CA$33&gt;$H42,$A42,"")),""))),"")</f>
        <v/>
      </c>
      <c r="CB42" s="42">
        <f>IFERROR(IF($H42+$I42=CB$33,$A42,(IF((CB$33&lt;$H42+$I42),(IF(CB$33&gt;$H42,$A42,"")),""))),"")</f>
        <v/>
      </c>
      <c r="CC42" s="42">
        <f>IFERROR(IF($H42+$I42=CC$33,$A42,(IF((CC$33&lt;$H42+$I42),(IF(CC$33&gt;$H42,$A42,"")),""))),"")</f>
        <v/>
      </c>
      <c r="CD42" s="42">
        <f>IFERROR(IF($H42+$I42=CD$33,$A42,(IF((CD$33&lt;$H42+$I42),(IF(CD$33&gt;$H42,$A42,"")),""))),"")</f>
        <v/>
      </c>
      <c r="CE42" s="42">
        <f>IFERROR(IF($H42+$I42=CE$33,$A42,(IF((CE$33&lt;$H42+$I42),(IF(CE$33&gt;$H42,$A42,"")),""))),"")</f>
        <v/>
      </c>
      <c r="CF42" s="42">
        <f>IFERROR(IF($H42+$I42=CF$33,$A42,(IF((CF$33&lt;$H42+$I42),(IF(CF$33&gt;$H42,$A42,"")),""))),"")</f>
        <v/>
      </c>
      <c r="CG42" s="42">
        <f>IFERROR(IF($H42+$I42=CG$33,$A42,(IF((CG$33&lt;$H42+$I42),(IF(CG$33&gt;$H42,$A42,"")),""))),"")</f>
        <v/>
      </c>
      <c r="CH42" s="42">
        <f>IFERROR(IF($H42+$I42=CH$33,$A42,(IF((CH$33&lt;$H42+$I42),(IF(CH$33&gt;$H42,$A42,"")),""))),"")</f>
        <v/>
      </c>
      <c r="CI42" s="42">
        <f>IFERROR(IF($H42+$I42=CI$33,$A42,(IF((CI$33&lt;$H42+$I42),(IF(CI$33&gt;$H42,$A42,"")),""))),"")</f>
        <v/>
      </c>
      <c r="CJ42" s="42">
        <f>IFERROR(IF($H42+$I42=CJ$33,$A42,(IF((CJ$33&lt;$H42+$I42),(IF(CJ$33&gt;$H42,$A42,"")),""))),"")</f>
        <v/>
      </c>
      <c r="CK42" s="42">
        <f>IFERROR(IF($H42+$I42=CK$33,$A42,(IF((CK$33&lt;$H42+$I42),(IF(CK$33&gt;$H42,$A42,"")),""))),"")</f>
        <v/>
      </c>
      <c r="CL42" s="42">
        <f>IFERROR(IF($H42+$I42=CL$33,$A42,(IF((CL$33&lt;$H42+$I42),(IF(CL$33&gt;$H42,$A42,"")),""))),"")</f>
        <v/>
      </c>
      <c r="CM42" s="42">
        <f>IFERROR(IF($H42+$I42=CM$33,$A42,(IF((CM$33&lt;$H42+$I42),(IF(CM$33&gt;$H42,$A42,"")),""))),"")</f>
        <v/>
      </c>
      <c r="CN42" s="42">
        <f>IFERROR(IF($H42+$I42=CN$33,$A42,(IF((CN$33&lt;$H42+$I42),(IF(CN$33&gt;$H42,$A42,"")),""))),"")</f>
        <v/>
      </c>
      <c r="CO42" s="42">
        <f>IFERROR(IF($H42+$I42=CO$33,$A42,(IF((CO$33&lt;$H42+$I42),(IF(CO$33&gt;$H42,$A42,"")),""))),"")</f>
        <v/>
      </c>
      <c r="CP42" s="42">
        <f>IFERROR(IF($H42+$I42=CP$33,$A42,(IF((CP$33&lt;$H42+$I42),(IF(CP$33&gt;$H42,$A42,"")),""))),"")</f>
        <v/>
      </c>
      <c r="CQ42" s="42">
        <f>IFERROR(IF($H42+$I42=CQ$33,$A42,(IF((CQ$33&lt;$H42+$I42),(IF(CQ$33&gt;$H42,$A42,"")),""))),"")</f>
        <v/>
      </c>
      <c r="CR42" s="42">
        <f>IFERROR(IF($H42+$I42=CR$33,$A42,(IF((CR$33&lt;$H42+$I42),(IF(CR$33&gt;$H42,$A42,"")),""))),"")</f>
        <v/>
      </c>
      <c r="CS42" s="42">
        <f>IFERROR(IF($H42+$I42=CS$33,$A42,(IF((CS$33&lt;$H42+$I42),(IF(CS$33&gt;$H42,$A42,"")),""))),"")</f>
        <v/>
      </c>
      <c r="CT42" s="42">
        <f>IFERROR(IF($H42+$I42=CT$33,$A42,(IF((CT$33&lt;$H42+$I42),(IF(CT$33&gt;$H42,$A42,"")),""))),"")</f>
        <v/>
      </c>
      <c r="CU42" s="42">
        <f>IFERROR(IF($H42+$I42=CU$33,$A42,(IF((CU$33&lt;$H42+$I42),(IF(CU$33&gt;$H42,$A42,"")),""))),"")</f>
        <v/>
      </c>
      <c r="CV42" s="42">
        <f>IFERROR(IF($H42+$I42=CV$33,$A42,(IF((CV$33&lt;$H42+$I42),(IF(CV$33&gt;$H42,$A42,"")),""))),"")</f>
        <v/>
      </c>
      <c r="CW42" s="42">
        <f>IFERROR(IF($H42+$I42=CW$33,$A42,(IF((CW$33&lt;$H42+$I42),(IF(CW$33&gt;$H42,$A42,"")),""))),"")</f>
        <v/>
      </c>
      <c r="CX42" s="42">
        <f>IFERROR(IF($H42+$I42=CX$33,$A42,(IF((CX$33&lt;$H42+$I42),(IF(CX$33&gt;$H42,$A42,"")),""))),"")</f>
        <v/>
      </c>
      <c r="CY42" s="42">
        <f>IFERROR(IF($H42+$I42=CY$33,$A42,(IF((CY$33&lt;$H42+$I42),(IF(CY$33&gt;$H42,$A42,"")),""))),"")</f>
        <v/>
      </c>
      <c r="CZ42" s="42">
        <f>IFERROR(IF($H42+$I42=CZ$33,$A42,(IF((CZ$33&lt;$H42+$I42),(IF(CZ$33&gt;$H42,$A42,"")),""))),"")</f>
        <v/>
      </c>
      <c r="DA42" s="43">
        <f>IFERROR(IF($H42+$I42=DA$33,$A42,(IF((DA$33&lt;$H42+$I42),(IF(DA$33&gt;$H42,$A42,"")),""))),"")</f>
        <v/>
      </c>
    </row>
    <row r="43" hidden="1" outlineLevel="1" collapsed="1" ht="14.4" customHeight="1">
      <c r="A43" s="32" t="n">
        <v>3</v>
      </c>
      <c r="B43" s="536" t="n"/>
      <c r="C43" s="542" t="n"/>
      <c r="D43" s="342" t="inlineStr">
        <is>
          <t xml:space="preserve">R3 : User Acceptance Testing     </t>
        </is>
      </c>
      <c r="E43" s="30" t="n"/>
      <c r="F43" s="30" t="n"/>
      <c r="G43" s="218" t="inlineStr">
        <is>
          <t>UAT</t>
        </is>
      </c>
      <c r="H43" s="222">
        <f>H42+I42</f>
        <v/>
      </c>
      <c r="I43" s="252" t="n">
        <v>0</v>
      </c>
      <c r="J43" s="42">
        <f>IFERROR(IF($H43+$I43=J$33,$A43,(IF((J$33&lt;$H43+$I43),(IF(J$33&gt;$H43,$A43,"")),""))),"")</f>
        <v/>
      </c>
      <c r="K43" s="42">
        <f>IFERROR(IF($H43+$I43=K$33,$A43,(IF((K$33&lt;$H43+$I43),(IF(K$33&gt;$H43,$A43,"")),""))),"")</f>
        <v/>
      </c>
      <c r="L43" s="42">
        <f>IFERROR(IF($H43+$I43=L$33,$A43,(IF((L$33&lt;$H43+$I43),(IF(L$33&gt;$H43,$A43,"")),""))),"")</f>
        <v/>
      </c>
      <c r="M43" s="42">
        <f>IFERROR(IF($H43+$I43=M$33,$A43,(IF((M$33&lt;$H43+$I43),(IF(M$33&gt;$H43,$A43,"")),""))),"")</f>
        <v/>
      </c>
      <c r="N43" s="42">
        <f>IFERROR(IF($H43+$I43=N$33,$A43,(IF((N$33&lt;$H43+$I43),(IF(N$33&gt;$H43,$A43,"")),""))),"")</f>
        <v/>
      </c>
      <c r="O43" s="42">
        <f>IFERROR(IF($H43+$I43=O$33,$A43,(IF((O$33&lt;$H43+$I43),(IF(O$33&gt;$H43,$A43,"")),""))),"")</f>
        <v/>
      </c>
      <c r="P43" s="42">
        <f>IFERROR(IF($H43+$I43=P$33,$A43,(IF((P$33&lt;$H43+$I43),(IF(P$33&gt;$H43,$A43,"")),""))),"")</f>
        <v/>
      </c>
      <c r="Q43" s="42">
        <f>IFERROR(IF($H43+$I43=Q$33,$A43,(IF((Q$33&lt;$H43+$I43),(IF(Q$33&gt;$H43,$A43,"")),""))),"")</f>
        <v/>
      </c>
      <c r="R43" s="42">
        <f>IFERROR(IF($H43+$I43=R$33,$A43,(IF((R$33&lt;$H43+$I43),(IF(R$33&gt;$H43,$A43,"")),""))),"")</f>
        <v/>
      </c>
      <c r="S43" s="42">
        <f>IFERROR(IF($H43+$I43=S$33,$A43,(IF((S$33&lt;$H43+$I43),(IF(S$33&gt;$H43,$A43,"")),""))),"")</f>
        <v/>
      </c>
      <c r="T43" s="42">
        <f>IFERROR(IF($H43+$I43=T$33,$A43,(IF((T$33&lt;$H43+$I43),(IF(T$33&gt;$H43,$A43,"")),""))),"")</f>
        <v/>
      </c>
      <c r="U43" s="42">
        <f>IFERROR(IF($H43+$I43=U$33,$A43,(IF((U$33&lt;$H43+$I43),(IF(U$33&gt;$H43,$A43,"")),""))),"")</f>
        <v/>
      </c>
      <c r="V43" s="42">
        <f>IFERROR(IF($H43+$I43=V$33,$A43,(IF((V$33&lt;$H43+$I43),(IF(V$33&gt;$H43,$A43,"")),""))),"")</f>
        <v/>
      </c>
      <c r="W43" s="42">
        <f>IFERROR(IF($H43+$I43=W$33,$A43,(IF((W$33&lt;$H43+$I43),(IF(W$33&gt;$H43,$A43,"")),""))),"")</f>
        <v/>
      </c>
      <c r="X43" s="42">
        <f>IFERROR(IF($H43+$I43=X$33,$A43,(IF((X$33&lt;$H43+$I43),(IF(X$33&gt;$H43,$A43,"")),""))),"")</f>
        <v/>
      </c>
      <c r="Y43" s="42">
        <f>IFERROR(IF($H43+$I43=Y$33,$A43,(IF((Y$33&lt;$H43+$I43),(IF(Y$33&gt;$H43,$A43,"")),""))),"")</f>
        <v/>
      </c>
      <c r="Z43" s="42">
        <f>IFERROR(IF($H43+$I43=Z$33,$A43,(IF((Z$33&lt;$H43+$I43),(IF(Z$33&gt;$H43,$A43,"")),""))),"")</f>
        <v/>
      </c>
      <c r="AA43" s="42">
        <f>IFERROR(IF($H43+$I43=AA$33,$A43,(IF((AA$33&lt;$H43+$I43),(IF(AA$33&gt;$H43,$A43,"")),""))),"")</f>
        <v/>
      </c>
      <c r="AB43" s="42">
        <f>IFERROR(IF($H43+$I43=AB$33,$A43,(IF((AB$33&lt;$H43+$I43),(IF(AB$33&gt;$H43,$A43,"")),""))),"")</f>
        <v/>
      </c>
      <c r="AC43" s="42">
        <f>IFERROR(IF($H43+$I43=AC$33,$A43,(IF((AC$33&lt;$H43+$I43),(IF(AC$33&gt;$H43,$A43,"")),""))),"")</f>
        <v/>
      </c>
      <c r="AD43" s="42">
        <f>IFERROR(IF($H43+$I43=AD$33,$A43,(IF((AD$33&lt;$H43+$I43),(IF(AD$33&gt;$H43,$A43,"")),""))),"")</f>
        <v/>
      </c>
      <c r="AE43" s="42">
        <f>IFERROR(IF($H43+$I43=AE$33,$A43,(IF((AE$33&lt;$H43+$I43),(IF(AE$33&gt;$H43,$A43,"")),""))),"")</f>
        <v/>
      </c>
      <c r="AF43" s="42">
        <f>IFERROR(IF($H43+$I43=AF$33,$A43,(IF((AF$33&lt;$H43+$I43),(IF(AF$33&gt;$H43,$A43,"")),""))),"")</f>
        <v/>
      </c>
      <c r="AG43" s="42">
        <f>IFERROR(IF($H43+$I43=AG$33,$A43,(IF((AG$33&lt;$H43+$I43),(IF(AG$33&gt;$H43,$A43,"")),""))),"")</f>
        <v/>
      </c>
      <c r="AH43" s="42">
        <f>IFERROR(IF($H43+$I43=AH$33,$A43,(IF((AH$33&lt;$H43+$I43),(IF(AH$33&gt;$H43,$A43,"")),""))),"")</f>
        <v/>
      </c>
      <c r="AI43" s="42">
        <f>IFERROR(IF($H43+$I43=AI$33,$A43,(IF((AI$33&lt;$H43+$I43),(IF(AI$33&gt;$H43,$A43,"")),""))),"")</f>
        <v/>
      </c>
      <c r="AJ43" s="42">
        <f>IFERROR(IF($H43+$I43=AJ$33,$A43,(IF((AJ$33&lt;$H43+$I43),(IF(AJ$33&gt;$H43,$A43,"")),""))),"")</f>
        <v/>
      </c>
      <c r="AK43" s="42">
        <f>IFERROR(IF($H43+$I43=AK$33,$A43,(IF((AK$33&lt;$H43+$I43),(IF(AK$33&gt;$H43,$A43,"")),""))),"")</f>
        <v/>
      </c>
      <c r="AL43" s="42">
        <f>IFERROR(IF($H43+$I43=AL$33,$A43,(IF((AL$33&lt;$H43+$I43),(IF(AL$33&gt;$H43,$A43,"")),""))),"")</f>
        <v/>
      </c>
      <c r="AM43" s="42">
        <f>IFERROR(IF($H43+$I43=AM$33,$A43,(IF((AM$33&lt;$H43+$I43),(IF(AM$33&gt;$H43,$A43,"")),""))),"")</f>
        <v/>
      </c>
      <c r="AN43" s="42">
        <f>IFERROR(IF($H43+$I43=AN$33,$A43,(IF((AN$33&lt;$H43+$I43),(IF(AN$33&gt;$H43,$A43,"")),""))),"")</f>
        <v/>
      </c>
      <c r="AO43" s="42">
        <f>IFERROR(IF($H43+$I43=AO$33,$A43,(IF((AO$33&lt;$H43+$I43),(IF(AO$33&gt;$H43,$A43,"")),""))),"")</f>
        <v/>
      </c>
      <c r="AP43" s="42">
        <f>IFERROR(IF($H43+$I43=AP$33,$A43,(IF((AP$33&lt;$H43+$I43),(IF(AP$33&gt;$H43,$A43,"")),""))),"")</f>
        <v/>
      </c>
      <c r="AQ43" s="42">
        <f>IFERROR(IF($H43+$I43=AQ$33,$A43,(IF((AQ$33&lt;$H43+$I43),(IF(AQ$33&gt;$H43,$A43,"")),""))),"")</f>
        <v/>
      </c>
      <c r="AR43" s="42">
        <f>IFERROR(IF($H43+$I43=AR$33,$A43,(IF((AR$33&lt;$H43+$I43),(IF(AR$33&gt;$H43,$A43,"")),""))),"")</f>
        <v/>
      </c>
      <c r="AS43" s="42">
        <f>IFERROR(IF($H43+$I43=AS$33,$A43,(IF((AS$33&lt;$H43+$I43),(IF(AS$33&gt;$H43,$A43,"")),""))),"")</f>
        <v/>
      </c>
      <c r="AT43" s="42">
        <f>IFERROR(IF($H43+$I43=AT$33,$A43,(IF((AT$33&lt;$H43+$I43),(IF(AT$33&gt;$H43,$A43,"")),""))),"")</f>
        <v/>
      </c>
      <c r="AU43" s="42">
        <f>IFERROR(IF($H43+$I43=AU$33,$A43,(IF((AU$33&lt;$H43+$I43),(IF(AU$33&gt;$H43,$A43,"")),""))),"")</f>
        <v/>
      </c>
      <c r="AV43" s="42">
        <f>IFERROR(IF($H43+$I43=AV$33,$A43,(IF((AV$33&lt;$H43+$I43),(IF(AV$33&gt;$H43,$A43,"")),""))),"")</f>
        <v/>
      </c>
      <c r="AW43" s="42">
        <f>IFERROR(IF($H43+$I43=AW$33,$A43,(IF((AW$33&lt;$H43+$I43),(IF(AW$33&gt;$H43,$A43,"")),""))),"")</f>
        <v/>
      </c>
      <c r="AX43" s="42">
        <f>IFERROR(IF($H43+$I43=AX$33,$A43,(IF((AX$33&lt;$H43+$I43),(IF(AX$33&gt;$H43,$A43,"")),""))),"")</f>
        <v/>
      </c>
      <c r="AY43" s="42">
        <f>IFERROR(IF($H43+$I43=AY$33,$A43,(IF((AY$33&lt;$H43+$I43),(IF(AY$33&gt;$H43,$A43,"")),""))),"")</f>
        <v/>
      </c>
      <c r="AZ43" s="42">
        <f>IFERROR(IF($H43+$I43=AZ$33,$A43,(IF((AZ$33&lt;$H43+$I43),(IF(AZ$33&gt;$H43,$A43,"")),""))),"")</f>
        <v/>
      </c>
      <c r="BA43" s="42">
        <f>IFERROR(IF($H43+$I43=BA$33,$A43,(IF((BA$33&lt;$H43+$I43),(IF(BA$33&gt;$H43,$A43,"")),""))),"")</f>
        <v/>
      </c>
      <c r="BB43" s="42">
        <f>IFERROR(IF($H43+$I43=BB$33,$A43,(IF((BB$33&lt;$H43+$I43),(IF(BB$33&gt;$H43,$A43,"")),""))),"")</f>
        <v/>
      </c>
      <c r="BC43" s="42">
        <f>IFERROR(IF($H43+$I43=BC$33,$A43,(IF((BC$33&lt;$H43+$I43),(IF(BC$33&gt;$H43,$A43,"")),""))),"")</f>
        <v/>
      </c>
      <c r="BD43" s="42">
        <f>IFERROR(IF($H43+$I43=BD$33,$A43,(IF((BD$33&lt;$H43+$I43),(IF(BD$33&gt;$H43,$A43,"")),""))),"")</f>
        <v/>
      </c>
      <c r="BE43" s="154">
        <f>IFERROR(IF($H43+$I43=BE$33,$A43,(IF((BE$33&lt;$H43+$I43),(IF(BE$33&gt;$H43,$A43,"")),""))),"")</f>
        <v/>
      </c>
      <c r="BF43" s="42">
        <f>IFERROR(IF($H43+$I43=BF$33,$A43,(IF((BF$33&lt;$H43+$I43),(IF(BF$33&gt;$H43,$A43,"")),""))),"")</f>
        <v/>
      </c>
      <c r="BG43" s="42">
        <f>IFERROR(IF($H43+$I43=BG$33,$A43,(IF((BG$33&lt;$H43+$I43),(IF(BG$33&gt;$H43,$A43,"")),""))),"")</f>
        <v/>
      </c>
      <c r="BH43" s="42">
        <f>IFERROR(IF($H43+$I43=BH$33,$A43,(IF((BH$33&lt;$H43+$I43),(IF(BH$33&gt;$H43,$A43,"")),""))),"")</f>
        <v/>
      </c>
      <c r="BI43" s="42">
        <f>IFERROR(IF($H43+$I43=BI$33,$A43,(IF((BI$33&lt;$H43+$I43),(IF(BI$33&gt;$H43,$A43,"")),""))),"")</f>
        <v/>
      </c>
      <c r="BJ43" s="42">
        <f>IFERROR(IF($H43+$I43=BJ$33,$A43,(IF((BJ$33&lt;$H43+$I43),(IF(BJ$33&gt;$H43,$A43,"")),""))),"")</f>
        <v/>
      </c>
      <c r="BK43" s="42">
        <f>IFERROR(IF($H43+$I43=BK$33,$A43,(IF((BK$33&lt;$H43+$I43),(IF(BK$33&gt;$H43,$A43,"")),""))),"")</f>
        <v/>
      </c>
      <c r="BL43" s="42">
        <f>IFERROR(IF($H43+$I43=BL$33,$A43,(IF((BL$33&lt;$H43+$I43),(IF(BL$33&gt;$H43,$A43,"")),""))),"")</f>
        <v/>
      </c>
      <c r="BM43" s="42">
        <f>IFERROR(IF($H43+$I43=BM$33,$A43,(IF((BM$33&lt;$H43+$I43),(IF(BM$33&gt;$H43,$A43,"")),""))),"")</f>
        <v/>
      </c>
      <c r="BN43" s="42">
        <f>IFERROR(IF($H43+$I43=BN$33,$A43,(IF((BN$33&lt;$H43+$I43),(IF(BN$33&gt;$H43,$A43,"")),""))),"")</f>
        <v/>
      </c>
      <c r="BO43" s="42">
        <f>IFERROR(IF($H43+$I43=BO$33,$A43,(IF((BO$33&lt;$H43+$I43),(IF(BO$33&gt;$H43,$A43,"")),""))),"")</f>
        <v/>
      </c>
      <c r="BP43" s="42">
        <f>IFERROR(IF($H43+$I43=BP$33,$A43,(IF((BP$33&lt;$H43+$I43),(IF(BP$33&gt;$H43,$A43,"")),""))),"")</f>
        <v/>
      </c>
      <c r="BQ43" s="42">
        <f>IFERROR(IF($H43+$I43=BQ$33,$A43,(IF((BQ$33&lt;$H43+$I43),(IF(BQ$33&gt;$H43,$A43,"")),""))),"")</f>
        <v/>
      </c>
      <c r="BR43" s="42">
        <f>IFERROR(IF($H43+$I43=BR$33,$A43,(IF((BR$33&lt;$H43+$I43),(IF(BR$33&gt;$H43,$A43,"")),""))),"")</f>
        <v/>
      </c>
      <c r="BS43" s="42">
        <f>IFERROR(IF($H43+$I43=BS$33,$A43,(IF((BS$33&lt;$H43+$I43),(IF(BS$33&gt;$H43,$A43,"")),""))),"")</f>
        <v/>
      </c>
      <c r="BT43" s="42">
        <f>IFERROR(IF($H43+$I43=BT$33,$A43,(IF((BT$33&lt;$H43+$I43),(IF(BT$33&gt;$H43,$A43,"")),""))),"")</f>
        <v/>
      </c>
      <c r="BU43" s="42">
        <f>IFERROR(IF($H43+$I43=BU$33,$A43,(IF((BU$33&lt;$H43+$I43),(IF(BU$33&gt;$H43,$A43,"")),""))),"")</f>
        <v/>
      </c>
      <c r="BV43" s="42">
        <f>IFERROR(IF($H43+$I43=BV$33,$A43,(IF((BV$33&lt;$H43+$I43),(IF(BV$33&gt;$H43,$A43,"")),""))),"")</f>
        <v/>
      </c>
      <c r="BW43" s="42">
        <f>IFERROR(IF($H43+$I43=BW$33,$A43,(IF((BW$33&lt;$H43+$I43),(IF(BW$33&gt;$H43,$A43,"")),""))),"")</f>
        <v/>
      </c>
      <c r="BX43" s="42">
        <f>IFERROR(IF($H43+$I43=BX$33,$A43,(IF((BX$33&lt;$H43+$I43),(IF(BX$33&gt;$H43,$A43,"")),""))),"")</f>
        <v/>
      </c>
      <c r="BY43" s="42">
        <f>IFERROR(IF($H43+$I43=BY$33,$A43,(IF((BY$33&lt;$H43+$I43),(IF(BY$33&gt;$H43,$A43,"")),""))),"")</f>
        <v/>
      </c>
      <c r="BZ43" s="42">
        <f>IFERROR(IF($H43+$I43=BZ$33,$A43,(IF((BZ$33&lt;$H43+$I43),(IF(BZ$33&gt;$H43,$A43,"")),""))),"")</f>
        <v/>
      </c>
      <c r="CA43" s="42">
        <f>IFERROR(IF($H43+$I43=CA$33,$A43,(IF((CA$33&lt;$H43+$I43),(IF(CA$33&gt;$H43,$A43,"")),""))),"")</f>
        <v/>
      </c>
      <c r="CB43" s="42">
        <f>IFERROR(IF($H43+$I43=CB$33,$A43,(IF((CB$33&lt;$H43+$I43),(IF(CB$33&gt;$H43,$A43,"")),""))),"")</f>
        <v/>
      </c>
      <c r="CC43" s="42">
        <f>IFERROR(IF($H43+$I43=CC$33,$A43,(IF((CC$33&lt;$H43+$I43),(IF(CC$33&gt;$H43,$A43,"")),""))),"")</f>
        <v/>
      </c>
      <c r="CD43" s="42">
        <f>IFERROR(IF($H43+$I43=CD$33,$A43,(IF((CD$33&lt;$H43+$I43),(IF(CD$33&gt;$H43,$A43,"")),""))),"")</f>
        <v/>
      </c>
      <c r="CE43" s="42">
        <f>IFERROR(IF($H43+$I43=CE$33,$A43,(IF((CE$33&lt;$H43+$I43),(IF(CE$33&gt;$H43,$A43,"")),""))),"")</f>
        <v/>
      </c>
      <c r="CF43" s="42">
        <f>IFERROR(IF($H43+$I43=CF$33,$A43,(IF((CF$33&lt;$H43+$I43),(IF(CF$33&gt;$H43,$A43,"")),""))),"")</f>
        <v/>
      </c>
      <c r="CG43" s="42">
        <f>IFERROR(IF($H43+$I43=CG$33,$A43,(IF((CG$33&lt;$H43+$I43),(IF(CG$33&gt;$H43,$A43,"")),""))),"")</f>
        <v/>
      </c>
      <c r="CH43" s="42">
        <f>IFERROR(IF($H43+$I43=CH$33,$A43,(IF((CH$33&lt;$H43+$I43),(IF(CH$33&gt;$H43,$A43,"")),""))),"")</f>
        <v/>
      </c>
      <c r="CI43" s="42">
        <f>IFERROR(IF($H43+$I43=CI$33,$A43,(IF((CI$33&lt;$H43+$I43),(IF(CI$33&gt;$H43,$A43,"")),""))),"")</f>
        <v/>
      </c>
      <c r="CJ43" s="42">
        <f>IFERROR(IF($H43+$I43=CJ$33,$A43,(IF((CJ$33&lt;$H43+$I43),(IF(CJ$33&gt;$H43,$A43,"")),""))),"")</f>
        <v/>
      </c>
      <c r="CK43" s="42">
        <f>IFERROR(IF($H43+$I43=CK$33,$A43,(IF((CK$33&lt;$H43+$I43),(IF(CK$33&gt;$H43,$A43,"")),""))),"")</f>
        <v/>
      </c>
      <c r="CL43" s="42">
        <f>IFERROR(IF($H43+$I43=CL$33,$A43,(IF((CL$33&lt;$H43+$I43),(IF(CL$33&gt;$H43,$A43,"")),""))),"")</f>
        <v/>
      </c>
      <c r="CM43" s="42">
        <f>IFERROR(IF($H43+$I43=CM$33,$A43,(IF((CM$33&lt;$H43+$I43),(IF(CM$33&gt;$H43,$A43,"")),""))),"")</f>
        <v/>
      </c>
      <c r="CN43" s="42">
        <f>IFERROR(IF($H43+$I43=CN$33,$A43,(IF((CN$33&lt;$H43+$I43),(IF(CN$33&gt;$H43,$A43,"")),""))),"")</f>
        <v/>
      </c>
      <c r="CO43" s="42">
        <f>IFERROR(IF($H43+$I43=CO$33,$A43,(IF((CO$33&lt;$H43+$I43),(IF(CO$33&gt;$H43,$A43,"")),""))),"")</f>
        <v/>
      </c>
      <c r="CP43" s="42">
        <f>IFERROR(IF($H43+$I43=CP$33,$A43,(IF((CP$33&lt;$H43+$I43),(IF(CP$33&gt;$H43,$A43,"")),""))),"")</f>
        <v/>
      </c>
      <c r="CQ43" s="42">
        <f>IFERROR(IF($H43+$I43=CQ$33,$A43,(IF((CQ$33&lt;$H43+$I43),(IF(CQ$33&gt;$H43,$A43,"")),""))),"")</f>
        <v/>
      </c>
      <c r="CR43" s="42">
        <f>IFERROR(IF($H43+$I43=CR$33,$A43,(IF((CR$33&lt;$H43+$I43),(IF(CR$33&gt;$H43,$A43,"")),""))),"")</f>
        <v/>
      </c>
      <c r="CS43" s="42">
        <f>IFERROR(IF($H43+$I43=CS$33,$A43,(IF((CS$33&lt;$H43+$I43),(IF(CS$33&gt;$H43,$A43,"")),""))),"")</f>
        <v/>
      </c>
      <c r="CT43" s="42">
        <f>IFERROR(IF($H43+$I43=CT$33,$A43,(IF((CT$33&lt;$H43+$I43),(IF(CT$33&gt;$H43,$A43,"")),""))),"")</f>
        <v/>
      </c>
      <c r="CU43" s="42">
        <f>IFERROR(IF($H43+$I43=CU$33,$A43,(IF((CU$33&lt;$H43+$I43),(IF(CU$33&gt;$H43,$A43,"")),""))),"")</f>
        <v/>
      </c>
      <c r="CV43" s="42">
        <f>IFERROR(IF($H43+$I43=CV$33,$A43,(IF((CV$33&lt;$H43+$I43),(IF(CV$33&gt;$H43,$A43,"")),""))),"")</f>
        <v/>
      </c>
      <c r="CW43" s="42">
        <f>IFERROR(IF($H43+$I43=CW$33,$A43,(IF((CW$33&lt;$H43+$I43),(IF(CW$33&gt;$H43,$A43,"")),""))),"")</f>
        <v/>
      </c>
      <c r="CX43" s="42">
        <f>IFERROR(IF($H43+$I43=CX$33,$A43,(IF((CX$33&lt;$H43+$I43),(IF(CX$33&gt;$H43,$A43,"")),""))),"")</f>
        <v/>
      </c>
      <c r="CY43" s="42">
        <f>IFERROR(IF($H43+$I43=CY$33,$A43,(IF((CY$33&lt;$H43+$I43),(IF(CY$33&gt;$H43,$A43,"")),""))),"")</f>
        <v/>
      </c>
      <c r="CZ43" s="42">
        <f>IFERROR(IF($H43+$I43=CZ$33,$A43,(IF((CZ$33&lt;$H43+$I43),(IF(CZ$33&gt;$H43,$A43,"")),""))),"")</f>
        <v/>
      </c>
      <c r="DA43" s="43">
        <f>IFERROR(IF($H43+$I43=DA$33,$A43,(IF((DA$33&lt;$H43+$I43),(IF(DA$33&gt;$H43,$A43,"")),""))),"")</f>
        <v/>
      </c>
    </row>
    <row r="44" hidden="1" outlineLevel="1">
      <c r="A44" s="32" t="n">
        <v>3</v>
      </c>
      <c r="B44" s="536" t="n"/>
      <c r="C44" s="542" t="n"/>
      <c r="D44" s="273" t="inlineStr">
        <is>
          <t xml:space="preserve">R3 : Go Live </t>
        </is>
      </c>
      <c r="E44" s="30" t="n"/>
      <c r="F44" s="30" t="n"/>
      <c r="G44" s="30" t="n"/>
      <c r="H44" s="222">
        <f>H43+I43</f>
        <v/>
      </c>
      <c r="I44" s="252" t="n">
        <v>0</v>
      </c>
      <c r="J44" s="42">
        <f>IFERROR(IF($H44+$I44=J$33,$A44,(IF((J$33&lt;$H44+$I44),(IF(J$33&gt;$H44,$A44,"")),""))),"")</f>
        <v/>
      </c>
      <c r="K44" s="42">
        <f>IFERROR(IF($H44+$I44=K$33,$A44,(IF((K$33&lt;$H44+$I44),(IF(K$33&gt;$H44,$A44,"")),""))),"")</f>
        <v/>
      </c>
      <c r="L44" s="42">
        <f>IFERROR(IF($H44+$I44=L$33,$A44,(IF((L$33&lt;$H44+$I44),(IF(L$33&gt;$H44,$A44,"")),""))),"")</f>
        <v/>
      </c>
      <c r="M44" s="42">
        <f>IFERROR(IF($H44+$I44=M$33,$A44,(IF((M$33&lt;$H44+$I44),(IF(M$33&gt;$H44,$A44,"")),""))),"")</f>
        <v/>
      </c>
      <c r="N44" s="42">
        <f>IFERROR(IF($H44+$I44=N$33,$A44,(IF((N$33&lt;$H44+$I44),(IF(N$33&gt;$H44,$A44,"")),""))),"")</f>
        <v/>
      </c>
      <c r="O44" s="42">
        <f>IFERROR(IF($H44+$I44=O$33,$A44,(IF((O$33&lt;$H44+$I44),(IF(O$33&gt;$H44,$A44,"")),""))),"")</f>
        <v/>
      </c>
      <c r="P44" s="42">
        <f>IFERROR(IF($H44+$I44=P$33,$A44,(IF((P$33&lt;$H44+$I44),(IF(P$33&gt;$H44,$A44,"")),""))),"")</f>
        <v/>
      </c>
      <c r="Q44" s="42">
        <f>IFERROR(IF($H44+$I44=Q$33,$A44,(IF((Q$33&lt;$H44+$I44),(IF(Q$33&gt;$H44,$A44,"")),""))),"")</f>
        <v/>
      </c>
      <c r="R44" s="42">
        <f>IFERROR(IF($H44+$I44=R$33,$A44,(IF((R$33&lt;$H44+$I44),(IF(R$33&gt;$H44,$A44,"")),""))),"")</f>
        <v/>
      </c>
      <c r="S44" s="42">
        <f>IFERROR(IF($H44+$I44=S$33,$A44,(IF((S$33&lt;$H44+$I44),(IF(S$33&gt;$H44,$A44,"")),""))),"")</f>
        <v/>
      </c>
      <c r="T44" s="42">
        <f>IFERROR(IF($H44+$I44=T$33,$A44,(IF((T$33&lt;$H44+$I44),(IF(T$33&gt;$H44,$A44,"")),""))),"")</f>
        <v/>
      </c>
      <c r="U44" s="42">
        <f>IFERROR(IF($H44+$I44=U$33,$A44,(IF((U$33&lt;$H44+$I44),(IF(U$33&gt;$H44,$A44,"")),""))),"")</f>
        <v/>
      </c>
      <c r="V44" s="42">
        <f>IFERROR(IF($H44+$I44=V$33,$A44,(IF((V$33&lt;$H44+$I44),(IF(V$33&gt;$H44,$A44,"")),""))),"")</f>
        <v/>
      </c>
      <c r="W44" s="42">
        <f>IFERROR(IF($H44+$I44=W$33,$A44,(IF((W$33&lt;$H44+$I44),(IF(W$33&gt;$H44,$A44,"")),""))),"")</f>
        <v/>
      </c>
      <c r="X44" s="42">
        <f>IFERROR(IF($H44+$I44=X$33,$A44,(IF((X$33&lt;$H44+$I44),(IF(X$33&gt;$H44,$A44,"")),""))),"")</f>
        <v/>
      </c>
      <c r="Y44" s="42">
        <f>IFERROR(IF($H44+$I44=Y$33,$A44,(IF((Y$33&lt;$H44+$I44),(IF(Y$33&gt;$H44,$A44,"")),""))),"")</f>
        <v/>
      </c>
      <c r="Z44" s="42">
        <f>IFERROR(IF($H44+$I44=Z$33,$A44,(IF((Z$33&lt;$H44+$I44),(IF(Z$33&gt;$H44,$A44,"")),""))),"")</f>
        <v/>
      </c>
      <c r="AA44" s="42">
        <f>IFERROR(IF($H44+$I44=AA$33,$A44,(IF((AA$33&lt;$H44+$I44),(IF(AA$33&gt;$H44,$A44,"")),""))),"")</f>
        <v/>
      </c>
      <c r="AB44" s="42">
        <f>IFERROR(IF($H44+$I44=AB$33,$A44,(IF((AB$33&lt;$H44+$I44),(IF(AB$33&gt;$H44,$A44,"")),""))),"")</f>
        <v/>
      </c>
      <c r="AC44" s="42">
        <f>IFERROR(IF($H44+$I44=AC$33,$A44,(IF((AC$33&lt;$H44+$I44),(IF(AC$33&gt;$H44,$A44,"")),""))),"")</f>
        <v/>
      </c>
      <c r="AD44" s="42">
        <f>IFERROR(IF($H44+$I44=AD$33,$A44,(IF((AD$33&lt;$H44+$I44),(IF(AD$33&gt;$H44,$A44,"")),""))),"")</f>
        <v/>
      </c>
      <c r="AE44" s="42">
        <f>IFERROR(IF($H44+$I44=AE$33,$A44,(IF((AE$33&lt;$H44+$I44),(IF(AE$33&gt;$H44,$A44,"")),""))),"")</f>
        <v/>
      </c>
      <c r="AF44" s="42">
        <f>IFERROR(IF($H44+$I44=AF$33,$A44,(IF((AF$33&lt;$H44+$I44),(IF(AF$33&gt;$H44,$A44,"")),""))),"")</f>
        <v/>
      </c>
      <c r="AG44" s="42">
        <f>IFERROR(IF($H44+$I44=AG$33,$A44,(IF((AG$33&lt;$H44+$I44),(IF(AG$33&gt;$H44,$A44,"")),""))),"")</f>
        <v/>
      </c>
      <c r="AH44" s="42">
        <f>IFERROR(IF($H44+$I44=AH$33,$A44,(IF((AH$33&lt;$H44+$I44),(IF(AH$33&gt;$H44,$A44,"")),""))),"")</f>
        <v/>
      </c>
      <c r="AI44" s="42">
        <f>IFERROR(IF($H44+$I44=AI$33,$A44,(IF((AI$33&lt;$H44+$I44),(IF(AI$33&gt;$H44,$A44,"")),""))),"")</f>
        <v/>
      </c>
      <c r="AJ44" s="42">
        <f>IFERROR(IF($H44+$I44=AJ$33,$A44,(IF((AJ$33&lt;$H44+$I44),(IF(AJ$33&gt;$H44,$A44,"")),""))),"")</f>
        <v/>
      </c>
      <c r="AK44" s="42">
        <f>IFERROR(IF($H44+$I44=AK$33,$A44,(IF((AK$33&lt;$H44+$I44),(IF(AK$33&gt;$H44,$A44,"")),""))),"")</f>
        <v/>
      </c>
      <c r="AL44" s="42">
        <f>IFERROR(IF($H44+$I44=AL$33,$A44,(IF((AL$33&lt;$H44+$I44),(IF(AL$33&gt;$H44,$A44,"")),""))),"")</f>
        <v/>
      </c>
      <c r="AM44" s="42">
        <f>IFERROR(IF($H44+$I44=AM$33,$A44,(IF((AM$33&lt;$H44+$I44),(IF(AM$33&gt;$H44,$A44,"")),""))),"")</f>
        <v/>
      </c>
      <c r="AN44" s="42">
        <f>IFERROR(IF($H44+$I44=AN$33,$A44,(IF((AN$33&lt;$H44+$I44),(IF(AN$33&gt;$H44,$A44,"")),""))),"")</f>
        <v/>
      </c>
      <c r="AO44" s="42">
        <f>IFERROR(IF($H44+$I44=AO$33,$A44,(IF((AO$33&lt;$H44+$I44),(IF(AO$33&gt;$H44,$A44,"")),""))),"")</f>
        <v/>
      </c>
      <c r="AP44" s="42">
        <f>IFERROR(IF($H44+$I44=AP$33,$A44,(IF((AP$33&lt;$H44+$I44),(IF(AP$33&gt;$H44,$A44,"")),""))),"")</f>
        <v/>
      </c>
      <c r="AQ44" s="42">
        <f>IFERROR(IF($H44+$I44=AQ$33,$A44,(IF((AQ$33&lt;$H44+$I44),(IF(AQ$33&gt;$H44,$A44,"")),""))),"")</f>
        <v/>
      </c>
      <c r="AR44" s="42">
        <f>IFERROR(IF($H44+$I44=AR$33,$A44,(IF((AR$33&lt;$H44+$I44),(IF(AR$33&gt;$H44,$A44,"")),""))),"")</f>
        <v/>
      </c>
      <c r="AS44" s="42">
        <f>IFERROR(IF($H44+$I44=AS$33,$A44,(IF((AS$33&lt;$H44+$I44),(IF(AS$33&gt;$H44,$A44,"")),""))),"")</f>
        <v/>
      </c>
      <c r="AT44" s="42">
        <f>IFERROR(IF($H44+$I44=AT$33,$A44,(IF((AT$33&lt;$H44+$I44),(IF(AT$33&gt;$H44,$A44,"")),""))),"")</f>
        <v/>
      </c>
      <c r="AU44" s="42">
        <f>IFERROR(IF($H44+$I44=AU$33,$A44,(IF((AU$33&lt;$H44+$I44),(IF(AU$33&gt;$H44,$A44,"")),""))),"")</f>
        <v/>
      </c>
      <c r="AV44" s="42">
        <f>IFERROR(IF($H44+$I44=AV$33,$A44,(IF((AV$33&lt;$H44+$I44),(IF(AV$33&gt;$H44,$A44,"")),""))),"")</f>
        <v/>
      </c>
      <c r="AW44" s="42">
        <f>IFERROR(IF($H44+$I44=AW$33,$A44,(IF((AW$33&lt;$H44+$I44),(IF(AW$33&gt;$H44,$A44,"")),""))),"")</f>
        <v/>
      </c>
      <c r="AX44" s="42">
        <f>IFERROR(IF($H44+$I44=AX$33,$A44,(IF((AX$33&lt;$H44+$I44),(IF(AX$33&gt;$H44,$A44,"")),""))),"")</f>
        <v/>
      </c>
      <c r="AY44" s="42">
        <f>IFERROR(IF($H44+$I44=AY$33,$A44,(IF((AY$33&lt;$H44+$I44),(IF(AY$33&gt;$H44,$A44,"")),""))),"")</f>
        <v/>
      </c>
      <c r="AZ44" s="42">
        <f>IFERROR(IF($H44+$I44=AZ$33,$A44,(IF((AZ$33&lt;$H44+$I44),(IF(AZ$33&gt;$H44,$A44,"")),""))),"")</f>
        <v/>
      </c>
      <c r="BA44" s="42">
        <f>IFERROR(IF($H44+$I44=BA$33,$A44,(IF((BA$33&lt;$H44+$I44),(IF(BA$33&gt;$H44,$A44,"")),""))),"")</f>
        <v/>
      </c>
      <c r="BB44" s="42">
        <f>IFERROR(IF($H44+$I44=BB$33,$A44,(IF((BB$33&lt;$H44+$I44),(IF(BB$33&gt;$H44,$A44,"")),""))),"")</f>
        <v/>
      </c>
      <c r="BC44" s="42">
        <f>IFERROR(IF($H44+$I44=BC$33,$A44,(IF((BC$33&lt;$H44+$I44),(IF(BC$33&gt;$H44,$A44,"")),""))),"")</f>
        <v/>
      </c>
      <c r="BD44" s="42">
        <f>IFERROR(IF($H44+$I44=BD$33,$A44,(IF((BD$33&lt;$H44+$I44),(IF(BD$33&gt;$H44,$A44,"")),""))),"")</f>
        <v/>
      </c>
      <c r="BE44" s="154">
        <f>IFERROR(IF($H44+$I44=BE$33,$A44,(IF((BE$33&lt;$H44+$I44),(IF(BE$33&gt;$H44,$A44,"")),""))),"")</f>
        <v/>
      </c>
      <c r="BF44" s="42">
        <f>IFERROR(IF($H44+$I44=BF$33,$A44,(IF((BF$33&lt;$H44+$I44),(IF(BF$33&gt;$H44,$A44,"")),""))),"")</f>
        <v/>
      </c>
      <c r="BG44" s="42">
        <f>IFERROR(IF($H44+$I44=BG$33,$A44,(IF((BG$33&lt;$H44+$I44),(IF(BG$33&gt;$H44,$A44,"")),""))),"")</f>
        <v/>
      </c>
      <c r="BH44" s="42">
        <f>IFERROR(IF($H44+$I44=BH$33,$A44,(IF((BH$33&lt;$H44+$I44),(IF(BH$33&gt;$H44,$A44,"")),""))),"")</f>
        <v/>
      </c>
      <c r="BI44" s="42">
        <f>IFERROR(IF($H44+$I44=BI$33,$A44,(IF((BI$33&lt;$H44+$I44),(IF(BI$33&gt;$H44,$A44,"")),""))),"")</f>
        <v/>
      </c>
      <c r="BJ44" s="42">
        <f>IFERROR(IF($H44+$I44=BJ$33,$A44,(IF((BJ$33&lt;$H44+$I44),(IF(BJ$33&gt;$H44,$A44,"")),""))),"")</f>
        <v/>
      </c>
      <c r="BK44" s="42">
        <f>IFERROR(IF($H44+$I44=BK$33,$A44,(IF((BK$33&lt;$H44+$I44),(IF(BK$33&gt;$H44,$A44,"")),""))),"")</f>
        <v/>
      </c>
      <c r="BL44" s="42">
        <f>IFERROR(IF($H44+$I44=BL$33,$A44,(IF((BL$33&lt;$H44+$I44),(IF(BL$33&gt;$H44,$A44,"")),""))),"")</f>
        <v/>
      </c>
      <c r="BM44" s="42">
        <f>IFERROR(IF($H44+$I44=BM$33,$A44,(IF((BM$33&lt;$H44+$I44),(IF(BM$33&gt;$H44,$A44,"")),""))),"")</f>
        <v/>
      </c>
      <c r="BN44" s="42">
        <f>IFERROR(IF($H44+$I44=BN$33,$A44,(IF((BN$33&lt;$H44+$I44),(IF(BN$33&gt;$H44,$A44,"")),""))),"")</f>
        <v/>
      </c>
      <c r="BO44" s="42">
        <f>IFERROR(IF($H44+$I44=BO$33,$A44,(IF((BO$33&lt;$H44+$I44),(IF(BO$33&gt;$H44,$A44,"")),""))),"")</f>
        <v/>
      </c>
      <c r="BP44" s="42">
        <f>IFERROR(IF($H44+$I44=BP$33,$A44,(IF((BP$33&lt;$H44+$I44),(IF(BP$33&gt;$H44,$A44,"")),""))),"")</f>
        <v/>
      </c>
      <c r="BQ44" s="42">
        <f>IFERROR(IF($H44+$I44=BQ$33,$A44,(IF((BQ$33&lt;$H44+$I44),(IF(BQ$33&gt;$H44,$A44,"")),""))),"")</f>
        <v/>
      </c>
      <c r="BR44" s="42">
        <f>IFERROR(IF($H44+$I44=BR$33,$A44,(IF((BR$33&lt;$H44+$I44),(IF(BR$33&gt;$H44,$A44,"")),""))),"")</f>
        <v/>
      </c>
      <c r="BS44" s="42">
        <f>IFERROR(IF($H44+$I44=BS$33,$A44,(IF((BS$33&lt;$H44+$I44),(IF(BS$33&gt;$H44,$A44,"")),""))),"")</f>
        <v/>
      </c>
      <c r="BT44" s="42">
        <f>IFERROR(IF($H44+$I44=BT$33,$A44,(IF((BT$33&lt;$H44+$I44),(IF(BT$33&gt;$H44,$A44,"")),""))),"")</f>
        <v/>
      </c>
      <c r="BU44" s="42">
        <f>IFERROR(IF($H44+$I44=BU$33,$A44,(IF((BU$33&lt;$H44+$I44),(IF(BU$33&gt;$H44,$A44,"")),""))),"")</f>
        <v/>
      </c>
      <c r="BV44" s="42">
        <f>IFERROR(IF($H44+$I44=BV$33,$A44,(IF((BV$33&lt;$H44+$I44),(IF(BV$33&gt;$H44,$A44,"")),""))),"")</f>
        <v/>
      </c>
      <c r="BW44" s="42">
        <f>IFERROR(IF($H44+$I44=BW$33,$A44,(IF((BW$33&lt;$H44+$I44),(IF(BW$33&gt;$H44,$A44,"")),""))),"")</f>
        <v/>
      </c>
      <c r="BX44" s="42">
        <f>IFERROR(IF($H44+$I44=BX$33,$A44,(IF((BX$33&lt;$H44+$I44),(IF(BX$33&gt;$H44,$A44,"")),""))),"")</f>
        <v/>
      </c>
      <c r="BY44" s="42">
        <f>IFERROR(IF($H44+$I44=BY$33,$A44,(IF((BY$33&lt;$H44+$I44),(IF(BY$33&gt;$H44,$A44,"")),""))),"")</f>
        <v/>
      </c>
      <c r="BZ44" s="42">
        <f>IFERROR(IF($H44+$I44=BZ$33,$A44,(IF((BZ$33&lt;$H44+$I44),(IF(BZ$33&gt;$H44,$A44,"")),""))),"")</f>
        <v/>
      </c>
      <c r="CA44" s="42">
        <f>IFERROR(IF($H44+$I44=CA$33,$A44,(IF((CA$33&lt;$H44+$I44),(IF(CA$33&gt;$H44,$A44,"")),""))),"")</f>
        <v/>
      </c>
      <c r="CB44" s="42">
        <f>IFERROR(IF($H44+$I44=CB$33,$A44,(IF((CB$33&lt;$H44+$I44),(IF(CB$33&gt;$H44,$A44,"")),""))),"")</f>
        <v/>
      </c>
      <c r="CC44" s="42">
        <f>IFERROR(IF($H44+$I44=CC$33,$A44,(IF((CC$33&lt;$H44+$I44),(IF(CC$33&gt;$H44,$A44,"")),""))),"")</f>
        <v/>
      </c>
      <c r="CD44" s="42">
        <f>IFERROR(IF($H44+$I44=CD$33,$A44,(IF((CD$33&lt;$H44+$I44),(IF(CD$33&gt;$H44,$A44,"")),""))),"")</f>
        <v/>
      </c>
      <c r="CE44" s="42">
        <f>IFERROR(IF($H44+$I44=CE$33,$A44,(IF((CE$33&lt;$H44+$I44),(IF(CE$33&gt;$H44,$A44,"")),""))),"")</f>
        <v/>
      </c>
      <c r="CF44" s="42">
        <f>IFERROR(IF($H44+$I44=CF$33,$A44,(IF((CF$33&lt;$H44+$I44),(IF(CF$33&gt;$H44,$A44,"")),""))),"")</f>
        <v/>
      </c>
      <c r="CG44" s="42">
        <f>IFERROR(IF($H44+$I44=CG$33,$A44,(IF((CG$33&lt;$H44+$I44),(IF(CG$33&gt;$H44,$A44,"")),""))),"")</f>
        <v/>
      </c>
      <c r="CH44" s="42">
        <f>IFERROR(IF($H44+$I44=CH$33,$A44,(IF((CH$33&lt;$H44+$I44),(IF(CH$33&gt;$H44,$A44,"")),""))),"")</f>
        <v/>
      </c>
      <c r="CI44" s="42">
        <f>IFERROR(IF($H44+$I44=CI$33,$A44,(IF((CI$33&lt;$H44+$I44),(IF(CI$33&gt;$H44,$A44,"")),""))),"")</f>
        <v/>
      </c>
      <c r="CJ44" s="42">
        <f>IFERROR(IF($H44+$I44=CJ$33,$A44,(IF((CJ$33&lt;$H44+$I44),(IF(CJ$33&gt;$H44,$A44,"")),""))),"")</f>
        <v/>
      </c>
      <c r="CK44" s="42">
        <f>IFERROR(IF($H44+$I44=CK$33,$A44,(IF((CK$33&lt;$H44+$I44),(IF(CK$33&gt;$H44,$A44,"")),""))),"")</f>
        <v/>
      </c>
      <c r="CL44" s="42">
        <f>IFERROR(IF($H44+$I44=CL$33,$A44,(IF((CL$33&lt;$H44+$I44),(IF(CL$33&gt;$H44,$A44,"")),""))),"")</f>
        <v/>
      </c>
      <c r="CM44" s="42">
        <f>IFERROR(IF($H44+$I44=CM$33,$A44,(IF((CM$33&lt;$H44+$I44),(IF(CM$33&gt;$H44,$A44,"")),""))),"")</f>
        <v/>
      </c>
      <c r="CN44" s="42">
        <f>IFERROR(IF($H44+$I44=CN$33,$A44,(IF((CN$33&lt;$H44+$I44),(IF(CN$33&gt;$H44,$A44,"")),""))),"")</f>
        <v/>
      </c>
      <c r="CO44" s="42">
        <f>IFERROR(IF($H44+$I44=CO$33,$A44,(IF((CO$33&lt;$H44+$I44),(IF(CO$33&gt;$H44,$A44,"")),""))),"")</f>
        <v/>
      </c>
      <c r="CP44" s="42">
        <f>IFERROR(IF($H44+$I44=CP$33,$A44,(IF((CP$33&lt;$H44+$I44),(IF(CP$33&gt;$H44,$A44,"")),""))),"")</f>
        <v/>
      </c>
      <c r="CQ44" s="42">
        <f>IFERROR(IF($H44+$I44=CQ$33,$A44,(IF((CQ$33&lt;$H44+$I44),(IF(CQ$33&gt;$H44,$A44,"")),""))),"")</f>
        <v/>
      </c>
      <c r="CR44" s="42">
        <f>IFERROR(IF($H44+$I44=CR$33,$A44,(IF((CR$33&lt;$H44+$I44),(IF(CR$33&gt;$H44,$A44,"")),""))),"")</f>
        <v/>
      </c>
      <c r="CS44" s="42">
        <f>IFERROR(IF($H44+$I44=CS$33,$A44,(IF((CS$33&lt;$H44+$I44),(IF(CS$33&gt;$H44,$A44,"")),""))),"")</f>
        <v/>
      </c>
      <c r="CT44" s="42">
        <f>IFERROR(IF($H44+$I44=CT$33,$A44,(IF((CT$33&lt;$H44+$I44),(IF(CT$33&gt;$H44,$A44,"")),""))),"")</f>
        <v/>
      </c>
      <c r="CU44" s="42">
        <f>IFERROR(IF($H44+$I44=CU$33,$A44,(IF((CU$33&lt;$H44+$I44),(IF(CU$33&gt;$H44,$A44,"")),""))),"")</f>
        <v/>
      </c>
      <c r="CV44" s="42">
        <f>IFERROR(IF($H44+$I44=CV$33,$A44,(IF((CV$33&lt;$H44+$I44),(IF(CV$33&gt;$H44,$A44,"")),""))),"")</f>
        <v/>
      </c>
      <c r="CW44" s="42">
        <f>IFERROR(IF($H44+$I44=CW$33,$A44,(IF((CW$33&lt;$H44+$I44),(IF(CW$33&gt;$H44,$A44,"")),""))),"")</f>
        <v/>
      </c>
      <c r="CX44" s="42">
        <f>IFERROR(IF($H44+$I44=CX$33,$A44,(IF((CX$33&lt;$H44+$I44),(IF(CX$33&gt;$H44,$A44,"")),""))),"")</f>
        <v/>
      </c>
      <c r="CY44" s="42">
        <f>IFERROR(IF($H44+$I44=CY$33,$A44,(IF((CY$33&lt;$H44+$I44),(IF(CY$33&gt;$H44,$A44,"")),""))),"")</f>
        <v/>
      </c>
      <c r="CZ44" s="42">
        <f>IFERROR(IF($H44+$I44=CZ$33,$A44,(IF((CZ$33&lt;$H44+$I44),(IF(CZ$33&gt;$H44,$A44,"")),""))),"")</f>
        <v/>
      </c>
      <c r="DA44" s="43">
        <f>IFERROR(IF($H44+$I44=DA$33,$A44,(IF((DA$33&lt;$H44+$I44),(IF(DA$33&gt;$H44,$A44,"")),""))),"")</f>
        <v/>
      </c>
    </row>
    <row r="45" collapsed="1">
      <c r="A45" s="32" t="n">
        <v>4</v>
      </c>
      <c r="B45" s="536" t="n"/>
      <c r="C45" s="542" t="n"/>
      <c r="D45" s="328" t="inlineStr">
        <is>
          <t>Hyper Care</t>
        </is>
      </c>
      <c r="E45" s="466" t="n"/>
      <c r="F45" s="466" t="n"/>
      <c r="G45" s="226" t="n"/>
      <c r="H45" s="221">
        <f>H44+I44</f>
        <v/>
      </c>
      <c r="I45" s="254" t="n">
        <v>4</v>
      </c>
      <c r="J45" s="42">
        <f>IFERROR(IF($H45+$I45=J$33,$A45,(IF((J$33&lt;$H45+$I45),(IF(J$33&gt;$H45,$A45,"")),""))),"")</f>
        <v/>
      </c>
      <c r="K45" s="42">
        <f>IFERROR(IF($H45+$I45=K$33,$A45,(IF((K$33&lt;$H45+$I45),(IF(K$33&gt;$H45,$A45,"")),""))),"")</f>
        <v/>
      </c>
      <c r="L45" s="42">
        <f>IFERROR(IF($H45+$I45=L$33,$A45,(IF((L$33&lt;$H45+$I45),(IF(L$33&gt;$H45,$A45,"")),""))),"")</f>
        <v/>
      </c>
      <c r="M45" s="42">
        <f>IFERROR(IF($H45+$I45=M$33,$A45,(IF((M$33&lt;$H45+$I45),(IF(M$33&gt;$H45,$A45,"")),""))),"")</f>
        <v/>
      </c>
      <c r="N45" s="42">
        <f>IFERROR(IF($H45+$I45=N$33,$A45,(IF((N$33&lt;$H45+$I45),(IF(N$33&gt;$H45,$A45,"")),""))),"")</f>
        <v/>
      </c>
      <c r="O45" s="42">
        <f>IFERROR(IF($H45+$I45=O$33,$A45,(IF((O$33&lt;$H45+$I45),(IF(O$33&gt;$H45,$A45,"")),""))),"")</f>
        <v/>
      </c>
      <c r="P45" s="42">
        <f>IFERROR(IF($H45+$I45=P$33,$A45,(IF((P$33&lt;$H45+$I45),(IF(P$33&gt;$H45,$A45,"")),""))),"")</f>
        <v/>
      </c>
      <c r="Q45" s="42">
        <f>IFERROR(IF($H45+$I45=Q$33,$A45,(IF((Q$33&lt;$H45+$I45),(IF(Q$33&gt;$H45,$A45,"")),""))),"")</f>
        <v/>
      </c>
      <c r="R45" s="42">
        <f>IFERROR(IF($H45+$I45=R$33,$A45,(IF((R$33&lt;$H45+$I45),(IF(R$33&gt;$H45,$A45,"")),""))),"")</f>
        <v/>
      </c>
      <c r="S45" s="42">
        <f>IFERROR(IF($H45+$I45=S$33,$A45,(IF((S$33&lt;$H45+$I45),(IF(S$33&gt;$H45,$A45,"")),""))),"")</f>
        <v/>
      </c>
      <c r="T45" s="42">
        <f>IFERROR(IF($H45+$I45=T$33,$A45,(IF((T$33&lt;$H45+$I45),(IF(T$33&gt;$H45,$A45,"")),""))),"")</f>
        <v/>
      </c>
      <c r="U45" s="42">
        <f>IFERROR(IF($H45+$I45=U$33,$A45,(IF((U$33&lt;$H45+$I45),(IF(U$33&gt;$H45,$A45,"")),""))),"")</f>
        <v/>
      </c>
      <c r="V45" s="42">
        <f>IFERROR(IF($H45+$I45=V$33,$A45,(IF((V$33&lt;$H45+$I45),(IF(V$33&gt;$H45,$A45,"")),""))),"")</f>
        <v/>
      </c>
      <c r="W45" s="42">
        <f>IFERROR(IF($H45+$I45=W$33,$A45,(IF((W$33&lt;$H45+$I45),(IF(W$33&gt;$H45,$A45,"")),""))),"")</f>
        <v/>
      </c>
      <c r="X45" s="42">
        <f>IFERROR(IF($H45+$I45=X$33,$A45,(IF((X$33&lt;$H45+$I45),(IF(X$33&gt;$H45,$A45,"")),""))),"")</f>
        <v/>
      </c>
      <c r="Y45" s="42">
        <f>IFERROR(IF($H45+$I45=Y$33,$A45,(IF((Y$33&lt;$H45+$I45),(IF(Y$33&gt;$H45,$A45,"")),""))),"")</f>
        <v/>
      </c>
      <c r="Z45" s="42">
        <f>IFERROR(IF($H45+$I45=Z$33,$A45,(IF((Z$33&lt;$H45+$I45),(IF(Z$33&gt;$H45,$A45,"")),""))),"")</f>
        <v/>
      </c>
      <c r="AA45" s="42">
        <f>IFERROR(IF($H45+$I45=AA$33,$A45,(IF((AA$33&lt;$H45+$I45),(IF(AA$33&gt;$H45,$A45,"")),""))),"")</f>
        <v/>
      </c>
      <c r="AB45" s="42">
        <f>IFERROR(IF($H45+$I45=AB$33,$A45,(IF((AB$33&lt;$H45+$I45),(IF(AB$33&gt;$H45,$A45,"")),""))),"")</f>
        <v/>
      </c>
      <c r="AC45" s="42">
        <f>IFERROR(IF($H45+$I45=AC$33,$A45,(IF((AC$33&lt;$H45+$I45),(IF(AC$33&gt;$H45,$A45,"")),""))),"")</f>
        <v/>
      </c>
      <c r="AD45" s="42">
        <f>IFERROR(IF($H45+$I45=AD$33,$A45,(IF((AD$33&lt;$H45+$I45),(IF(AD$33&gt;$H45,$A45,"")),""))),"")</f>
        <v/>
      </c>
      <c r="AE45" s="42">
        <f>IFERROR(IF($H45+$I45=AE$33,$A45,(IF((AE$33&lt;$H45+$I45),(IF(AE$33&gt;$H45,$A45,"")),""))),"")</f>
        <v/>
      </c>
      <c r="AF45" s="42">
        <f>IFERROR(IF($H45+$I45=AF$33,$A45,(IF((AF$33&lt;$H45+$I45),(IF(AF$33&gt;$H45,$A45,"")),""))),"")</f>
        <v/>
      </c>
      <c r="AG45" s="42">
        <f>IFERROR(IF($H45+$I45=AG$33,$A45,(IF((AG$33&lt;$H45+$I45),(IF(AG$33&gt;$H45,$A45,"")),""))),"")</f>
        <v/>
      </c>
      <c r="AH45" s="42">
        <f>IFERROR(IF($H45+$I45=AH$33,$A45,(IF((AH$33&lt;$H45+$I45),(IF(AH$33&gt;$H45,$A45,"")),""))),"")</f>
        <v/>
      </c>
      <c r="AI45" s="42">
        <f>IFERROR(IF($H45+$I45=AI$33,$A45,(IF((AI$33&lt;$H45+$I45),(IF(AI$33&gt;$H45,$A45,"")),""))),"")</f>
        <v/>
      </c>
      <c r="AJ45" s="42">
        <f>IFERROR(IF($H45+$I45=AJ$33,$A45,(IF((AJ$33&lt;$H45+$I45),(IF(AJ$33&gt;$H45,$A45,"")),""))),"")</f>
        <v/>
      </c>
      <c r="AK45" s="42">
        <f>IFERROR(IF($H45+$I45=AK$33,$A45,(IF((AK$33&lt;$H45+$I45),(IF(AK$33&gt;$H45,$A45,"")),""))),"")</f>
        <v/>
      </c>
      <c r="AL45" s="42">
        <f>IFERROR(IF($H45+$I45=AL$33,$A45,(IF((AL$33&lt;$H45+$I45),(IF(AL$33&gt;$H45,$A45,"")),""))),"")</f>
        <v/>
      </c>
      <c r="AM45" s="42">
        <f>IFERROR(IF($H45+$I45=AM$33,$A45,(IF((AM$33&lt;$H45+$I45),(IF(AM$33&gt;$H45,$A45,"")),""))),"")</f>
        <v/>
      </c>
      <c r="AN45" s="42">
        <f>IFERROR(IF($H45+$I45=AN$33,$A45,(IF((AN$33&lt;$H45+$I45),(IF(AN$33&gt;$H45,$A45,"")),""))),"")</f>
        <v/>
      </c>
      <c r="AO45" s="42">
        <f>IFERROR(IF($H45+$I45=AO$33,$A45,(IF((AO$33&lt;$H45+$I45),(IF(AO$33&gt;$H45,$A45,"")),""))),"")</f>
        <v/>
      </c>
      <c r="AP45" s="42">
        <f>IFERROR(IF($H45+$I45=AP$33,$A45,(IF((AP$33&lt;$H45+$I45),(IF(AP$33&gt;$H45,$A45,"")),""))),"")</f>
        <v/>
      </c>
      <c r="AQ45" s="42">
        <f>IFERROR(IF($H45+$I45=AQ$33,$A45,(IF((AQ$33&lt;$H45+$I45),(IF(AQ$33&gt;$H45,$A45,"")),""))),"")</f>
        <v/>
      </c>
      <c r="AR45" s="42">
        <f>IFERROR(IF($H45+$I45=AR$33,$A45,(IF((AR$33&lt;$H45+$I45),(IF(AR$33&gt;$H45,$A45,"")),""))),"")</f>
        <v/>
      </c>
      <c r="AS45" s="42">
        <f>IFERROR(IF($H45+$I45=AS$33,$A45,(IF((AS$33&lt;$H45+$I45),(IF(AS$33&gt;$H45,$A45,"")),""))),"")</f>
        <v/>
      </c>
      <c r="AT45" s="42">
        <f>IFERROR(IF($H45+$I45=AT$33,$A45,(IF((AT$33&lt;$H45+$I45),(IF(AT$33&gt;$H45,$A45,"")),""))),"")</f>
        <v/>
      </c>
      <c r="AU45" s="42">
        <f>IFERROR(IF($H45+$I45=AU$33,$A45,(IF((AU$33&lt;$H45+$I45),(IF(AU$33&gt;$H45,$A45,"")),""))),"")</f>
        <v/>
      </c>
      <c r="AV45" s="42">
        <f>IFERROR(IF($H45+$I45=AV$33,$A45,(IF((AV$33&lt;$H45+$I45),(IF(AV$33&gt;$H45,$A45,"")),""))),"")</f>
        <v/>
      </c>
      <c r="AW45" s="42">
        <f>IFERROR(IF($H45+$I45=AW$33,$A45,(IF((AW$33&lt;$H45+$I45),(IF(AW$33&gt;$H45,$A45,"")),""))),"")</f>
        <v/>
      </c>
      <c r="AX45" s="42">
        <f>IFERROR(IF($H45+$I45=AX$33,$A45,(IF((AX$33&lt;$H45+$I45),(IF(AX$33&gt;$H45,$A45,"")),""))),"")</f>
        <v/>
      </c>
      <c r="AY45" s="42">
        <f>IFERROR(IF($H45+$I45=AY$33,$A45,(IF((AY$33&lt;$H45+$I45),(IF(AY$33&gt;$H45,$A45,"")),""))),"")</f>
        <v/>
      </c>
      <c r="AZ45" s="42">
        <f>IFERROR(IF($H45+$I45=AZ$33,$A45,(IF((AZ$33&lt;$H45+$I45),(IF(AZ$33&gt;$H45,$A45,"")),""))),"")</f>
        <v/>
      </c>
      <c r="BA45" s="42">
        <f>IFERROR(IF($H45+$I45=BA$33,$A45,(IF((BA$33&lt;$H45+$I45),(IF(BA$33&gt;$H45,$A45,"")),""))),"")</f>
        <v/>
      </c>
      <c r="BB45" s="42">
        <f>IFERROR(IF($H45+$I45=BB$33,$A45,(IF((BB$33&lt;$H45+$I45),(IF(BB$33&gt;$H45,$A45,"")),""))),"")</f>
        <v/>
      </c>
      <c r="BC45" s="42">
        <f>IFERROR(IF($H45+$I45=BC$33,$A45,(IF((BC$33&lt;$H45+$I45),(IF(BC$33&gt;$H45,$A45,"")),""))),"")</f>
        <v/>
      </c>
      <c r="BD45" s="42">
        <f>IFERROR(IF($H45+$I45=BD$33,$A45,(IF((BD$33&lt;$H45+$I45),(IF(BD$33&gt;$H45,$A45,"")),""))),"")</f>
        <v/>
      </c>
      <c r="BE45" s="154">
        <f>IFERROR(IF($H45+$I45=BE$33,$A45,(IF((BE$33&lt;$H45+$I45),(IF(BE$33&gt;$H45,$A45,"")),""))),"")</f>
        <v/>
      </c>
      <c r="BF45" s="42">
        <f>IFERROR(IF($H45+$I45=BF$33,$A45,(IF((BF$33&lt;$H45+$I45),(IF(BF$33&gt;$H45,$A45,"")),""))),"")</f>
        <v/>
      </c>
      <c r="BG45" s="42">
        <f>IFERROR(IF($H45+$I45=BG$33,$A45,(IF((BG$33&lt;$H45+$I45),(IF(BG$33&gt;$H45,$A45,"")),""))),"")</f>
        <v/>
      </c>
      <c r="BH45" s="42">
        <f>IFERROR(IF($H45+$I45=BH$33,$A45,(IF((BH$33&lt;$H45+$I45),(IF(BH$33&gt;$H45,$A45,"")),""))),"")</f>
        <v/>
      </c>
      <c r="BI45" s="42">
        <f>IFERROR(IF($H45+$I45=BI$33,$A45,(IF((BI$33&lt;$H45+$I45),(IF(BI$33&gt;$H45,$A45,"")),""))),"")</f>
        <v/>
      </c>
      <c r="BJ45" s="42">
        <f>IFERROR(IF($H45+$I45=BJ$33,$A45,(IF((BJ$33&lt;$H45+$I45),(IF(BJ$33&gt;$H45,$A45,"")),""))),"")</f>
        <v/>
      </c>
      <c r="BK45" s="42">
        <f>IFERROR(IF($H45+$I45=BK$33,$A45,(IF((BK$33&lt;$H45+$I45),(IF(BK$33&gt;$H45,$A45,"")),""))),"")</f>
        <v/>
      </c>
      <c r="BL45" s="42">
        <f>IFERROR(IF($H45+$I45=BL$33,$A45,(IF((BL$33&lt;$H45+$I45),(IF(BL$33&gt;$H45,$A45,"")),""))),"")</f>
        <v/>
      </c>
      <c r="BM45" s="42">
        <f>IFERROR(IF($H45+$I45=BM$33,$A45,(IF((BM$33&lt;$H45+$I45),(IF(BM$33&gt;$H45,$A45,"")),""))),"")</f>
        <v/>
      </c>
      <c r="BN45" s="42">
        <f>IFERROR(IF($H45+$I45=BN$33,$A45,(IF((BN$33&lt;$H45+$I45),(IF(BN$33&gt;$H45,$A45,"")),""))),"")</f>
        <v/>
      </c>
      <c r="BO45" s="42">
        <f>IFERROR(IF($H45+$I45=BO$33,$A45,(IF((BO$33&lt;$H45+$I45),(IF(BO$33&gt;$H45,$A45,"")),""))),"")</f>
        <v/>
      </c>
      <c r="BP45" s="42">
        <f>IFERROR(IF($H45+$I45=BP$33,$A45,(IF((BP$33&lt;$H45+$I45),(IF(BP$33&gt;$H45,$A45,"")),""))),"")</f>
        <v/>
      </c>
      <c r="BQ45" s="42">
        <f>IFERROR(IF($H45+$I45=BQ$33,$A45,(IF((BQ$33&lt;$H45+$I45),(IF(BQ$33&gt;$H45,$A45,"")),""))),"")</f>
        <v/>
      </c>
      <c r="BR45" s="42">
        <f>IFERROR(IF($H45+$I45=BR$33,$A45,(IF((BR$33&lt;$H45+$I45),(IF(BR$33&gt;$H45,$A45,"")),""))),"")</f>
        <v/>
      </c>
      <c r="BS45" s="42">
        <f>IFERROR(IF($H45+$I45=BS$33,$A45,(IF((BS$33&lt;$H45+$I45),(IF(BS$33&gt;$H45,$A45,"")),""))),"")</f>
        <v/>
      </c>
      <c r="BT45" s="42">
        <f>IFERROR(IF($H45+$I45=BT$33,$A45,(IF((BT$33&lt;$H45+$I45),(IF(BT$33&gt;$H45,$A45,"")),""))),"")</f>
        <v/>
      </c>
      <c r="BU45" s="42">
        <f>IFERROR(IF($H45+$I45=BU$33,$A45,(IF((BU$33&lt;$H45+$I45),(IF(BU$33&gt;$H45,$A45,"")),""))),"")</f>
        <v/>
      </c>
      <c r="BV45" s="42">
        <f>IFERROR(IF($H45+$I45=BV$33,$A45,(IF((BV$33&lt;$H45+$I45),(IF(BV$33&gt;$H45,$A45,"")),""))),"")</f>
        <v/>
      </c>
      <c r="BW45" s="42">
        <f>IFERROR(IF($H45+$I45=BW$33,$A45,(IF((BW$33&lt;$H45+$I45),(IF(BW$33&gt;$H45,$A45,"")),""))),"")</f>
        <v/>
      </c>
      <c r="BX45" s="42">
        <f>IFERROR(IF($H45+$I45=BX$33,$A45,(IF((BX$33&lt;$H45+$I45),(IF(BX$33&gt;$H45,$A45,"")),""))),"")</f>
        <v/>
      </c>
      <c r="BY45" s="42">
        <f>IFERROR(IF($H45+$I45=BY$33,$A45,(IF((BY$33&lt;$H45+$I45),(IF(BY$33&gt;$H45,$A45,"")),""))),"")</f>
        <v/>
      </c>
      <c r="BZ45" s="42">
        <f>IFERROR(IF($H45+$I45=BZ$33,$A45,(IF((BZ$33&lt;$H45+$I45),(IF(BZ$33&gt;$H45,$A45,"")),""))),"")</f>
        <v/>
      </c>
      <c r="CA45" s="42">
        <f>IFERROR(IF($H45+$I45=CA$33,$A45,(IF((CA$33&lt;$H45+$I45),(IF(CA$33&gt;$H45,$A45,"")),""))),"")</f>
        <v/>
      </c>
      <c r="CB45" s="42">
        <f>IFERROR(IF($H45+$I45=CB$33,$A45,(IF((CB$33&lt;$H45+$I45),(IF(CB$33&gt;$H45,$A45,"")),""))),"")</f>
        <v/>
      </c>
      <c r="CC45" s="42">
        <f>IFERROR(IF($H45+$I45=CC$33,$A45,(IF((CC$33&lt;$H45+$I45),(IF(CC$33&gt;$H45,$A45,"")),""))),"")</f>
        <v/>
      </c>
      <c r="CD45" s="42">
        <f>IFERROR(IF($H45+$I45=CD$33,$A45,(IF((CD$33&lt;$H45+$I45),(IF(CD$33&gt;$H45,$A45,"")),""))),"")</f>
        <v/>
      </c>
      <c r="CE45" s="42">
        <f>IFERROR(IF($H45+$I45=CE$33,$A45,(IF((CE$33&lt;$H45+$I45),(IF(CE$33&gt;$H45,$A45,"")),""))),"")</f>
        <v/>
      </c>
      <c r="CF45" s="42">
        <f>IFERROR(IF($H45+$I45=CF$33,$A45,(IF((CF$33&lt;$H45+$I45),(IF(CF$33&gt;$H45,$A45,"")),""))),"")</f>
        <v/>
      </c>
      <c r="CG45" s="42">
        <f>IFERROR(IF($H45+$I45=CG$33,$A45,(IF((CG$33&lt;$H45+$I45),(IF(CG$33&gt;$H45,$A45,"")),""))),"")</f>
        <v/>
      </c>
      <c r="CH45" s="42">
        <f>IFERROR(IF($H45+$I45=CH$33,$A45,(IF((CH$33&lt;$H45+$I45),(IF(CH$33&gt;$H45,$A45,"")),""))),"")</f>
        <v/>
      </c>
      <c r="CI45" s="42">
        <f>IFERROR(IF($H45+$I45=CI$33,$A45,(IF((CI$33&lt;$H45+$I45),(IF(CI$33&gt;$H45,$A45,"")),""))),"")</f>
        <v/>
      </c>
      <c r="CJ45" s="42">
        <f>IFERROR(IF($H45+$I45=CJ$33,$A45,(IF((CJ$33&lt;$H45+$I45),(IF(CJ$33&gt;$H45,$A45,"")),""))),"")</f>
        <v/>
      </c>
      <c r="CK45" s="42">
        <f>IFERROR(IF($H45+$I45=CK$33,$A45,(IF((CK$33&lt;$H45+$I45),(IF(CK$33&gt;$H45,$A45,"")),""))),"")</f>
        <v/>
      </c>
      <c r="CL45" s="42">
        <f>IFERROR(IF($H45+$I45=CL$33,$A45,(IF((CL$33&lt;$H45+$I45),(IF(CL$33&gt;$H45,$A45,"")),""))),"")</f>
        <v/>
      </c>
      <c r="CM45" s="42">
        <f>IFERROR(IF($H45+$I45=CM$33,$A45,(IF((CM$33&lt;$H45+$I45),(IF(CM$33&gt;$H45,$A45,"")),""))),"")</f>
        <v/>
      </c>
      <c r="CN45" s="42">
        <f>IFERROR(IF($H45+$I45=CN$33,$A45,(IF((CN$33&lt;$H45+$I45),(IF(CN$33&gt;$H45,$A45,"")),""))),"")</f>
        <v/>
      </c>
      <c r="CO45" s="42">
        <f>IFERROR(IF($H45+$I45=CO$33,$A45,(IF((CO$33&lt;$H45+$I45),(IF(CO$33&gt;$H45,$A45,"")),""))),"")</f>
        <v/>
      </c>
      <c r="CP45" s="42">
        <f>IFERROR(IF($H45+$I45=CP$33,$A45,(IF((CP$33&lt;$H45+$I45),(IF(CP$33&gt;$H45,$A45,"")),""))),"")</f>
        <v/>
      </c>
      <c r="CQ45" s="42">
        <f>IFERROR(IF($H45+$I45=CQ$33,$A45,(IF((CQ$33&lt;$H45+$I45),(IF(CQ$33&gt;$H45,$A45,"")),""))),"")</f>
        <v/>
      </c>
      <c r="CR45" s="42">
        <f>IFERROR(IF($H45+$I45=CR$33,$A45,(IF((CR$33&lt;$H45+$I45),(IF(CR$33&gt;$H45,$A45,"")),""))),"")</f>
        <v/>
      </c>
      <c r="CS45" s="42">
        <f>IFERROR(IF($H45+$I45=CS$33,$A45,(IF((CS$33&lt;$H45+$I45),(IF(CS$33&gt;$H45,$A45,"")),""))),"")</f>
        <v/>
      </c>
      <c r="CT45" s="42">
        <f>IFERROR(IF($H45+$I45=CT$33,$A45,(IF((CT$33&lt;$H45+$I45),(IF(CT$33&gt;$H45,$A45,"")),""))),"")</f>
        <v/>
      </c>
      <c r="CU45" s="42">
        <f>IFERROR(IF($H45+$I45=CU$33,$A45,(IF((CU$33&lt;$H45+$I45),(IF(CU$33&gt;$H45,$A45,"")),""))),"")</f>
        <v/>
      </c>
      <c r="CV45" s="42">
        <f>IFERROR(IF($H45+$I45=CV$33,$A45,(IF((CV$33&lt;$H45+$I45),(IF(CV$33&gt;$H45,$A45,"")),""))),"")</f>
        <v/>
      </c>
      <c r="CW45" s="42">
        <f>IFERROR(IF($H45+$I45=CW$33,$A45,(IF((CW$33&lt;$H45+$I45),(IF(CW$33&gt;$H45,$A45,"")),""))),"")</f>
        <v/>
      </c>
      <c r="CX45" s="42">
        <f>IFERROR(IF($H45+$I45=CX$33,$A45,(IF((CX$33&lt;$H45+$I45),(IF(CX$33&gt;$H45,$A45,"")),""))),"")</f>
        <v/>
      </c>
      <c r="CY45" s="42">
        <f>IFERROR(IF($H45+$I45=CY$33,$A45,(IF((CY$33&lt;$H45+$I45),(IF(CY$33&gt;$H45,$A45,"")),""))),"")</f>
        <v/>
      </c>
      <c r="CZ45" s="42">
        <f>IFERROR(IF($H45+$I45=CZ$33,$A45,(IF((CZ$33&lt;$H45+$I45),(IF(CZ$33&gt;$H45,$A45,"")),""))),"")</f>
        <v/>
      </c>
      <c r="DA45" s="43">
        <f>IFERROR(IF($H45+$I45=DA$33,$A45,(IF((DA$33&lt;$H45+$I45),(IF(DA$33&gt;$H45,$A45,"")),""))),"")</f>
        <v/>
      </c>
    </row>
    <row r="46" ht="15" customHeight="1" thickBot="1">
      <c r="A46" s="32" t="n">
        <v>4</v>
      </c>
      <c r="B46" s="536" t="n"/>
      <c r="C46" s="544" t="n"/>
      <c r="D46" s="330" t="inlineStr">
        <is>
          <t>Project Handover</t>
        </is>
      </c>
      <c r="E46" s="545" t="n"/>
      <c r="F46" s="545" t="n"/>
      <c r="G46" s="228" t="n"/>
      <c r="H46" s="264">
        <f>H45+I45</f>
        <v/>
      </c>
      <c r="I46" s="255" t="n">
        <v>1</v>
      </c>
      <c r="J46" s="44">
        <f>IFERROR(IF($H46+$I46=J$33,$A46,(IF((J$33&lt;$H46+$I46),(IF(J$33&gt;$H46,$A46,"")),""))),"")</f>
        <v/>
      </c>
      <c r="K46" s="44">
        <f>IFERROR(IF($H46+$I46=K$33,$A46,(IF((K$33&lt;$H46+$I46),(IF(K$33&gt;$H46,$A46,"")),""))),"")</f>
        <v/>
      </c>
      <c r="L46" s="44">
        <f>IFERROR(IF($H46+$I46=L$33,$A46,(IF((L$33&lt;$H46+$I46),(IF(L$33&gt;$H46,$A46,"")),""))),"")</f>
        <v/>
      </c>
      <c r="M46" s="44">
        <f>IFERROR(IF($H46+$I46=M$33,$A46,(IF((M$33&lt;$H46+$I46),(IF(M$33&gt;$H46,$A46,"")),""))),"")</f>
        <v/>
      </c>
      <c r="N46" s="44">
        <f>IFERROR(IF($H46+$I46=N$33,$A46,(IF((N$33&lt;$H46+$I46),(IF(N$33&gt;$H46,$A46,"")),""))),"")</f>
        <v/>
      </c>
      <c r="O46" s="44">
        <f>IFERROR(IF($H46+$I46=O$33,$A46,(IF((O$33&lt;$H46+$I46),(IF(O$33&gt;$H46,$A46,"")),""))),"")</f>
        <v/>
      </c>
      <c r="P46" s="44">
        <f>IFERROR(IF($H46+$I46=P$33,$A46,(IF((P$33&lt;$H46+$I46),(IF(P$33&gt;$H46,$A46,"")),""))),"")</f>
        <v/>
      </c>
      <c r="Q46" s="44">
        <f>IFERROR(IF($H46+$I46=Q$33,$A46,(IF((Q$33&lt;$H46+$I46),(IF(Q$33&gt;$H46,$A46,"")),""))),"")</f>
        <v/>
      </c>
      <c r="R46" s="44">
        <f>IFERROR(IF($H46+$I46=R$33,$A46,(IF((R$33&lt;$H46+$I46),(IF(R$33&gt;$H46,$A46,"")),""))),"")</f>
        <v/>
      </c>
      <c r="S46" s="44">
        <f>IFERROR(IF($H46+$I46=S$33,$A46,(IF((S$33&lt;$H46+$I46),(IF(S$33&gt;$H46,$A46,"")),""))),"")</f>
        <v/>
      </c>
      <c r="T46" s="44">
        <f>IFERROR(IF($H46+$I46=T$33,$A46,(IF((T$33&lt;$H46+$I46),(IF(T$33&gt;$H46,$A46,"")),""))),"")</f>
        <v/>
      </c>
      <c r="U46" s="44">
        <f>IFERROR(IF($H46+$I46=U$33,$A46,(IF((U$33&lt;$H46+$I46),(IF(U$33&gt;$H46,$A46,"")),""))),"")</f>
        <v/>
      </c>
      <c r="V46" s="44">
        <f>IFERROR(IF($H46+$I46=V$33,$A46,(IF((V$33&lt;$H46+$I46),(IF(V$33&gt;$H46,$A46,"")),""))),"")</f>
        <v/>
      </c>
      <c r="W46" s="44">
        <f>IFERROR(IF($H46+$I46=W$33,$A46,(IF((W$33&lt;$H46+$I46),(IF(W$33&gt;$H46,$A46,"")),""))),"")</f>
        <v/>
      </c>
      <c r="X46" s="44">
        <f>IFERROR(IF($H46+$I46=X$33,$A46,(IF((X$33&lt;$H46+$I46),(IF(X$33&gt;$H46,$A46,"")),""))),"")</f>
        <v/>
      </c>
      <c r="Y46" s="44">
        <f>IFERROR(IF($H46+$I46=Y$33,$A46,(IF((Y$33&lt;$H46+$I46),(IF(Y$33&gt;$H46,$A46,"")),""))),"")</f>
        <v/>
      </c>
      <c r="Z46" s="44">
        <f>IFERROR(IF($H46+$I46=Z$33,$A46,(IF((Z$33&lt;$H46+$I46),(IF(Z$33&gt;$H46,$A46,"")),""))),"")</f>
        <v/>
      </c>
      <c r="AA46" s="44">
        <f>IFERROR(IF($H46+$I46=AA$33,$A46,(IF((AA$33&lt;$H46+$I46),(IF(AA$33&gt;$H46,$A46,"")),""))),"")</f>
        <v/>
      </c>
      <c r="AB46" s="44">
        <f>IFERROR(IF($H46+$I46=AB$33,$A46,(IF((AB$33&lt;$H46+$I46),(IF(AB$33&gt;$H46,$A46,"")),""))),"")</f>
        <v/>
      </c>
      <c r="AC46" s="44">
        <f>IFERROR(IF($H46+$I46=AC$33,$A46,(IF((AC$33&lt;$H46+$I46),(IF(AC$33&gt;$H46,$A46,"")),""))),"")</f>
        <v/>
      </c>
      <c r="AD46" s="44">
        <f>IFERROR(IF($H46+$I46=AD$33,$A46,(IF((AD$33&lt;$H46+$I46),(IF(AD$33&gt;$H46,$A46,"")),""))),"")</f>
        <v/>
      </c>
      <c r="AE46" s="44">
        <f>IFERROR(IF($H46+$I46=AE$33,$A46,(IF((AE$33&lt;$H46+$I46),(IF(AE$33&gt;$H46,$A46,"")),""))),"")</f>
        <v/>
      </c>
      <c r="AF46" s="44">
        <f>IFERROR(IF($H46+$I46=AF$33,$A46,(IF((AF$33&lt;$H46+$I46),(IF(AF$33&gt;$H46,$A46,"")),""))),"")</f>
        <v/>
      </c>
      <c r="AG46" s="44">
        <f>IFERROR(IF($H46+$I46=AG$33,$A46,(IF((AG$33&lt;$H46+$I46),(IF(AG$33&gt;$H46,$A46,"")),""))),"")</f>
        <v/>
      </c>
      <c r="AH46" s="44">
        <f>IFERROR(IF($H46+$I46=AH$33,$A46,(IF((AH$33&lt;$H46+$I46),(IF(AH$33&gt;$H46,$A46,"")),""))),"")</f>
        <v/>
      </c>
      <c r="AI46" s="44">
        <f>IFERROR(IF($H46+$I46=AI$33,$A46,(IF((AI$33&lt;$H46+$I46),(IF(AI$33&gt;$H46,$A46,"")),""))),"")</f>
        <v/>
      </c>
      <c r="AJ46" s="44">
        <f>IFERROR(IF($H46+$I46=AJ$33,$A46,(IF((AJ$33&lt;$H46+$I46),(IF(AJ$33&gt;$H46,$A46,"")),""))),"")</f>
        <v/>
      </c>
      <c r="AK46" s="44">
        <f>IFERROR(IF($H46+$I46=AK$33,$A46,(IF((AK$33&lt;$H46+$I46),(IF(AK$33&gt;$H46,$A46,"")),""))),"")</f>
        <v/>
      </c>
      <c r="AL46" s="44">
        <f>IFERROR(IF($H46+$I46=AL$33,$A46,(IF((AL$33&lt;$H46+$I46),(IF(AL$33&gt;$H46,$A46,"")),""))),"")</f>
        <v/>
      </c>
      <c r="AM46" s="44">
        <f>IFERROR(IF($H46+$I46=AM$33,$A46,(IF((AM$33&lt;$H46+$I46),(IF(AM$33&gt;$H46,$A46,"")),""))),"")</f>
        <v/>
      </c>
      <c r="AN46" s="44">
        <f>IFERROR(IF($H46+$I46=AN$33,$A46,(IF((AN$33&lt;$H46+$I46),(IF(AN$33&gt;$H46,$A46,"")),""))),"")</f>
        <v/>
      </c>
      <c r="AO46" s="44">
        <f>IFERROR(IF($H46+$I46=AO$33,$A46,(IF((AO$33&lt;$H46+$I46),(IF(AO$33&gt;$H46,$A46,"")),""))),"")</f>
        <v/>
      </c>
      <c r="AP46" s="44">
        <f>IFERROR(IF($H46+$I46=AP$33,$A46,(IF((AP$33&lt;$H46+$I46),(IF(AP$33&gt;$H46,$A46,"")),""))),"")</f>
        <v/>
      </c>
      <c r="AQ46" s="44">
        <f>IFERROR(IF($H46+$I46=AQ$33,$A46,(IF((AQ$33&lt;$H46+$I46),(IF(AQ$33&gt;$H46,$A46,"")),""))),"")</f>
        <v/>
      </c>
      <c r="AR46" s="44">
        <f>IFERROR(IF($H46+$I46=AR$33,$A46,(IF((AR$33&lt;$H46+$I46),(IF(AR$33&gt;$H46,$A46,"")),""))),"")</f>
        <v/>
      </c>
      <c r="AS46" s="44">
        <f>IFERROR(IF($H46+$I46=AS$33,$A46,(IF((AS$33&lt;$H46+$I46),(IF(AS$33&gt;$H46,$A46,"")),""))),"")</f>
        <v/>
      </c>
      <c r="AT46" s="44">
        <f>IFERROR(IF($H46+$I46=AT$33,$A46,(IF((AT$33&lt;$H46+$I46),(IF(AT$33&gt;$H46,$A46,"")),""))),"")</f>
        <v/>
      </c>
      <c r="AU46" s="44">
        <f>IFERROR(IF($H46+$I46=AU$33,$A46,(IF((AU$33&lt;$H46+$I46),(IF(AU$33&gt;$H46,$A46,"")),""))),"")</f>
        <v/>
      </c>
      <c r="AV46" s="44">
        <f>IFERROR(IF($H46+$I46=AV$33,$A46,(IF((AV$33&lt;$H46+$I46),(IF(AV$33&gt;$H46,$A46,"")),""))),"")</f>
        <v/>
      </c>
      <c r="AW46" s="44">
        <f>IFERROR(IF($H46+$I46=AW$33,$A46,(IF((AW$33&lt;$H46+$I46),(IF(AW$33&gt;$H46,$A46,"")),""))),"")</f>
        <v/>
      </c>
      <c r="AX46" s="44">
        <f>IFERROR(IF($H46+$I46=AX$33,$A46,(IF((AX$33&lt;$H46+$I46),(IF(AX$33&gt;$H46,$A46,"")),""))),"")</f>
        <v/>
      </c>
      <c r="AY46" s="44">
        <f>IFERROR(IF($H46+$I46=AY$33,$A46,(IF((AY$33&lt;$H46+$I46),(IF(AY$33&gt;$H46,$A46,"")),""))),"")</f>
        <v/>
      </c>
      <c r="AZ46" s="44">
        <f>IFERROR(IF($H46+$I46=AZ$33,$A46,(IF((AZ$33&lt;$H46+$I46),(IF(AZ$33&gt;$H46,$A46,"")),""))),"")</f>
        <v/>
      </c>
      <c r="BA46" s="44">
        <f>IFERROR(IF($H46+$I46=BA$33,$A46,(IF((BA$33&lt;$H46+$I46),(IF(BA$33&gt;$H46,$A46,"")),""))),"")</f>
        <v/>
      </c>
      <c r="BB46" s="44">
        <f>IFERROR(IF($H46+$I46=BB$33,$A46,(IF((BB$33&lt;$H46+$I46),(IF(BB$33&gt;$H46,$A46,"")),""))),"")</f>
        <v/>
      </c>
      <c r="BC46" s="44">
        <f>IFERROR(IF($H46+$I46=BC$33,$A46,(IF((BC$33&lt;$H46+$I46),(IF(BC$33&gt;$H46,$A46,"")),""))),"")</f>
        <v/>
      </c>
      <c r="BD46" s="44">
        <f>IFERROR(IF($H46+$I46=BD$33,$A46,(IF((BD$33&lt;$H46+$I46),(IF(BD$33&gt;$H46,$A46,"")),""))),"")</f>
        <v/>
      </c>
      <c r="BE46" s="155">
        <f>IFERROR(IF($H46+$I46=BE$33,$A46,(IF((BE$33&lt;$H46+$I46),(IF(BE$33&gt;$H46,$A46,"")),""))),"")</f>
        <v/>
      </c>
      <c r="BF46" s="44">
        <f>IFERROR(IF($H46+$I46=BF$33,$A46,(IF((BF$33&lt;$H46+$I46),(IF(BF$33&gt;$H46,$A46,"")),""))),"")</f>
        <v/>
      </c>
      <c r="BG46" s="44">
        <f>IFERROR(IF($H46+$I46=BG$33,$A46,(IF((BG$33&lt;$H46+$I46),(IF(BG$33&gt;$H46,$A46,"")),""))),"")</f>
        <v/>
      </c>
      <c r="BH46" s="44">
        <f>IFERROR(IF($H46+$I46=BH$33,$A46,(IF((BH$33&lt;$H46+$I46),(IF(BH$33&gt;$H46,$A46,"")),""))),"")</f>
        <v/>
      </c>
      <c r="BI46" s="44">
        <f>IFERROR(IF($H46+$I46=BI$33,$A46,(IF((BI$33&lt;$H46+$I46),(IF(BI$33&gt;$H46,$A46,"")),""))),"")</f>
        <v/>
      </c>
      <c r="BJ46" s="44">
        <f>IFERROR(IF($H46+$I46=BJ$33,$A46,(IF((BJ$33&lt;$H46+$I46),(IF(BJ$33&gt;$H46,$A46,"")),""))),"")</f>
        <v/>
      </c>
      <c r="BK46" s="44">
        <f>IFERROR(IF($H46+$I46=BK$33,$A46,(IF((BK$33&lt;$H46+$I46),(IF(BK$33&gt;$H46,$A46,"")),""))),"")</f>
        <v/>
      </c>
      <c r="BL46" s="44">
        <f>IFERROR(IF($H46+$I46=BL$33,$A46,(IF((BL$33&lt;$H46+$I46),(IF(BL$33&gt;$H46,$A46,"")),""))),"")</f>
        <v/>
      </c>
      <c r="BM46" s="44">
        <f>IFERROR(IF($H46+$I46=BM$33,$A46,(IF((BM$33&lt;$H46+$I46),(IF(BM$33&gt;$H46,$A46,"")),""))),"")</f>
        <v/>
      </c>
      <c r="BN46" s="44">
        <f>IFERROR(IF($H46+$I46=BN$33,$A46,(IF((BN$33&lt;$H46+$I46),(IF(BN$33&gt;$H46,$A46,"")),""))),"")</f>
        <v/>
      </c>
      <c r="BO46" s="44">
        <f>IFERROR(IF($H46+$I46=BO$33,$A46,(IF((BO$33&lt;$H46+$I46),(IF(BO$33&gt;$H46,$A46,"")),""))),"")</f>
        <v/>
      </c>
      <c r="BP46" s="44">
        <f>IFERROR(IF($H46+$I46=BP$33,$A46,(IF((BP$33&lt;$H46+$I46),(IF(BP$33&gt;$H46,$A46,"")),""))),"")</f>
        <v/>
      </c>
      <c r="BQ46" s="44">
        <f>IFERROR(IF($H46+$I46=BQ$33,$A46,(IF((BQ$33&lt;$H46+$I46),(IF(BQ$33&gt;$H46,$A46,"")),""))),"")</f>
        <v/>
      </c>
      <c r="BR46" s="44">
        <f>IFERROR(IF($H46+$I46=BR$33,$A46,(IF((BR$33&lt;$H46+$I46),(IF(BR$33&gt;$H46,$A46,"")),""))),"")</f>
        <v/>
      </c>
      <c r="BS46" s="44">
        <f>IFERROR(IF($H46+$I46=BS$33,$A46,(IF((BS$33&lt;$H46+$I46),(IF(BS$33&gt;$H46,$A46,"")),""))),"")</f>
        <v/>
      </c>
      <c r="BT46" s="44">
        <f>IFERROR(IF($H46+$I46=BT$33,$A46,(IF((BT$33&lt;$H46+$I46),(IF(BT$33&gt;$H46,$A46,"")),""))),"")</f>
        <v/>
      </c>
      <c r="BU46" s="44">
        <f>IFERROR(IF($H46+$I46=BU$33,$A46,(IF((BU$33&lt;$H46+$I46),(IF(BU$33&gt;$H46,$A46,"")),""))),"")</f>
        <v/>
      </c>
      <c r="BV46" s="44">
        <f>IFERROR(IF($H46+$I46=BV$33,$A46,(IF((BV$33&lt;$H46+$I46),(IF(BV$33&gt;$H46,$A46,"")),""))),"")</f>
        <v/>
      </c>
      <c r="BW46" s="44">
        <f>IFERROR(IF($H46+$I46=BW$33,$A46,(IF((BW$33&lt;$H46+$I46),(IF(BW$33&gt;$H46,$A46,"")),""))),"")</f>
        <v/>
      </c>
      <c r="BX46" s="44">
        <f>IFERROR(IF($H46+$I46=BX$33,$A46,(IF((BX$33&lt;$H46+$I46),(IF(BX$33&gt;$H46,$A46,"")),""))),"")</f>
        <v/>
      </c>
      <c r="BY46" s="44">
        <f>IFERROR(IF($H46+$I46=BY$33,$A46,(IF((BY$33&lt;$H46+$I46),(IF(BY$33&gt;$H46,$A46,"")),""))),"")</f>
        <v/>
      </c>
      <c r="BZ46" s="44">
        <f>IFERROR(IF($H46+$I46=BZ$33,$A46,(IF((BZ$33&lt;$H46+$I46),(IF(BZ$33&gt;$H46,$A46,"")),""))),"")</f>
        <v/>
      </c>
      <c r="CA46" s="44">
        <f>IFERROR(IF($H46+$I46=CA$33,$A46,(IF((CA$33&lt;$H46+$I46),(IF(CA$33&gt;$H46,$A46,"")),""))),"")</f>
        <v/>
      </c>
      <c r="CB46" s="44">
        <f>IFERROR(IF($H46+$I46=CB$33,$A46,(IF((CB$33&lt;$H46+$I46),(IF(CB$33&gt;$H46,$A46,"")),""))),"")</f>
        <v/>
      </c>
      <c r="CC46" s="44">
        <f>IFERROR(IF($H46+$I46=CC$33,$A46,(IF((CC$33&lt;$H46+$I46),(IF(CC$33&gt;$H46,$A46,"")),""))),"")</f>
        <v/>
      </c>
      <c r="CD46" s="44">
        <f>IFERROR(IF($H46+$I46=CD$33,$A46,(IF((CD$33&lt;$H46+$I46),(IF(CD$33&gt;$H46,$A46,"")),""))),"")</f>
        <v/>
      </c>
      <c r="CE46" s="44">
        <f>IFERROR(IF($H46+$I46=CE$33,$A46,(IF((CE$33&lt;$H46+$I46),(IF(CE$33&gt;$H46,$A46,"")),""))),"")</f>
        <v/>
      </c>
      <c r="CF46" s="44">
        <f>IFERROR(IF($H46+$I46=CF$33,$A46,(IF((CF$33&lt;$H46+$I46),(IF(CF$33&gt;$H46,$A46,"")),""))),"")</f>
        <v/>
      </c>
      <c r="CG46" s="44">
        <f>IFERROR(IF($H46+$I46=CG$33,$A46,(IF((CG$33&lt;$H46+$I46),(IF(CG$33&gt;$H46,$A46,"")),""))),"")</f>
        <v/>
      </c>
      <c r="CH46" s="44">
        <f>IFERROR(IF($H46+$I46=CH$33,$A46,(IF((CH$33&lt;$H46+$I46),(IF(CH$33&gt;$H46,$A46,"")),""))),"")</f>
        <v/>
      </c>
      <c r="CI46" s="44">
        <f>IFERROR(IF($H46+$I46=CI$33,$A46,(IF((CI$33&lt;$H46+$I46),(IF(CI$33&gt;$H46,$A46,"")),""))),"")</f>
        <v/>
      </c>
      <c r="CJ46" s="44">
        <f>IFERROR(IF($H46+$I46=CJ$33,$A46,(IF((CJ$33&lt;$H46+$I46),(IF(CJ$33&gt;$H46,$A46,"")),""))),"")</f>
        <v/>
      </c>
      <c r="CK46" s="44">
        <f>IFERROR(IF($H46+$I46=CK$33,$A46,(IF((CK$33&lt;$H46+$I46),(IF(CK$33&gt;$H46,$A46,"")),""))),"")</f>
        <v/>
      </c>
      <c r="CL46" s="44">
        <f>IFERROR(IF($H46+$I46=CL$33,$A46,(IF((CL$33&lt;$H46+$I46),(IF(CL$33&gt;$H46,$A46,"")),""))),"")</f>
        <v/>
      </c>
      <c r="CM46" s="44">
        <f>IFERROR(IF($H46+$I46=CM$33,$A46,(IF((CM$33&lt;$H46+$I46),(IF(CM$33&gt;$H46,$A46,"")),""))),"")</f>
        <v/>
      </c>
      <c r="CN46" s="44">
        <f>IFERROR(IF($H46+$I46=CN$33,$A46,(IF((CN$33&lt;$H46+$I46),(IF(CN$33&gt;$H46,$A46,"")),""))),"")</f>
        <v/>
      </c>
      <c r="CO46" s="44">
        <f>IFERROR(IF($H46+$I46=CO$33,$A46,(IF((CO$33&lt;$H46+$I46),(IF(CO$33&gt;$H46,$A46,"")),""))),"")</f>
        <v/>
      </c>
      <c r="CP46" s="44">
        <f>IFERROR(IF($H46+$I46=CP$33,$A46,(IF((CP$33&lt;$H46+$I46),(IF(CP$33&gt;$H46,$A46,"")),""))),"")</f>
        <v/>
      </c>
      <c r="CQ46" s="44">
        <f>IFERROR(IF($H46+$I46=CQ$33,$A46,(IF((CQ$33&lt;$H46+$I46),(IF(CQ$33&gt;$H46,$A46,"")),""))),"")</f>
        <v/>
      </c>
      <c r="CR46" s="44">
        <f>IFERROR(IF($H46+$I46=CR$33,$A46,(IF((CR$33&lt;$H46+$I46),(IF(CR$33&gt;$H46,$A46,"")),""))),"")</f>
        <v/>
      </c>
      <c r="CS46" s="44">
        <f>IFERROR(IF($H46+$I46=CS$33,$A46,(IF((CS$33&lt;$H46+$I46),(IF(CS$33&gt;$H46,$A46,"")),""))),"")</f>
        <v/>
      </c>
      <c r="CT46" s="44">
        <f>IFERROR(IF($H46+$I46=CT$33,$A46,(IF((CT$33&lt;$H46+$I46),(IF(CT$33&gt;$H46,$A46,"")),""))),"")</f>
        <v/>
      </c>
      <c r="CU46" s="44">
        <f>IFERROR(IF($H46+$I46=CU$33,$A46,(IF((CU$33&lt;$H46+$I46),(IF(CU$33&gt;$H46,$A46,"")),""))),"")</f>
        <v/>
      </c>
      <c r="CV46" s="44">
        <f>IFERROR(IF($H46+$I46=CV$33,$A46,(IF((CV$33&lt;$H46+$I46),(IF(CV$33&gt;$H46,$A46,"")),""))),"")</f>
        <v/>
      </c>
      <c r="CW46" s="44">
        <f>IFERROR(IF($H46+$I46=CW$33,$A46,(IF((CW$33&lt;$H46+$I46),(IF(CW$33&gt;$H46,$A46,"")),""))),"")</f>
        <v/>
      </c>
      <c r="CX46" s="44">
        <f>IFERROR(IF($H46+$I46=CX$33,$A46,(IF((CX$33&lt;$H46+$I46),(IF(CX$33&gt;$H46,$A46,"")),""))),"")</f>
        <v/>
      </c>
      <c r="CY46" s="44">
        <f>IFERROR(IF($H46+$I46=CY$33,$A46,(IF((CY$33&lt;$H46+$I46),(IF(CY$33&gt;$H46,$A46,"")),""))),"")</f>
        <v/>
      </c>
      <c r="CZ46" s="44">
        <f>IFERROR(IF($H46+$I46=CZ$33,$A46,(IF((CZ$33&lt;$H46+$I46),(IF(CZ$33&gt;$H46,$A46,"")),""))),"")</f>
        <v/>
      </c>
      <c r="DA46" s="45">
        <f>IFERROR(IF($H46+$I46=DA$33,$A46,(IF((DA$33&lt;$H46+$I46),(IF(DA$33&gt;$H46,$A46,"")),""))),"")</f>
        <v/>
      </c>
    </row>
    <row r="47" ht="14.4" customHeight="1">
      <c r="A47" s="32" t="n">
        <v>0</v>
      </c>
      <c r="B47" s="344" t="n"/>
      <c r="C47" s="546" t="inlineStr">
        <is>
          <t>Supply</t>
        </is>
      </c>
      <c r="D47" s="273" t="inlineStr">
        <is>
          <t>BoM Procurement</t>
        </is>
      </c>
      <c r="E47" s="30" t="n"/>
      <c r="F47" s="30" t="n"/>
      <c r="G47" s="227" t="n"/>
      <c r="H47" s="215" t="n"/>
      <c r="I47" s="256" t="n"/>
      <c r="J47" s="42">
        <f>IFERROR(IF($H47+$I47=J$33,$A47,(IF((J$33&lt;$H47+$I47),(IF(J$33&gt;$H47,$A47,"")),""))),"")</f>
        <v/>
      </c>
      <c r="K47" s="42">
        <f>IFERROR(IF($H47+$I47=K$33,$A47,(IF((K$33&lt;$H47+$I47),(IF(K$33&gt;$H47,$A47,"")),""))),"")</f>
        <v/>
      </c>
      <c r="L47" s="42">
        <f>IFERROR(IF($H47+$I47=L$33,$A47,(IF((L$33&lt;$H47+$I47),(IF(L$33&gt;$H47,$A47,"")),""))),"")</f>
        <v/>
      </c>
      <c r="M47" s="42">
        <f>IFERROR(IF($H47+$I47=M$33,$A47,(IF((M$33&lt;$H47+$I47),(IF(M$33&gt;$H47,$A47,"")),""))),"")</f>
        <v/>
      </c>
      <c r="N47" s="42">
        <f>IFERROR(IF($H47+$I47=N$33,$A47,(IF((N$33&lt;$H47+$I47),(IF(N$33&gt;$H47,$A47,"")),""))),"")</f>
        <v/>
      </c>
      <c r="O47" s="42">
        <f>IFERROR(IF($H47+$I47=O$33,$A47,(IF((O$33&lt;$H47+$I47),(IF(O$33&gt;$H47,$A47,"")),""))),"")</f>
        <v/>
      </c>
      <c r="P47" s="42">
        <f>IFERROR(IF($H47+$I47=P$33,$A47,(IF((P$33&lt;$H47+$I47),(IF(P$33&gt;$H47,$A47,"")),""))),"")</f>
        <v/>
      </c>
      <c r="Q47" s="42">
        <f>IFERROR(IF($H47+$I47=Q$33,$A47,(IF((Q$33&lt;$H47+$I47),(IF(Q$33&gt;$H47,$A47,"")),""))),"")</f>
        <v/>
      </c>
      <c r="R47" s="42">
        <f>IFERROR(IF($H47+$I47=R$33,$A47,(IF((R$33&lt;$H47+$I47),(IF(R$33&gt;$H47,$A47,"")),""))),"")</f>
        <v/>
      </c>
      <c r="S47" s="42">
        <f>IFERROR(IF($H47+$I47=S$33,$A47,(IF((S$33&lt;$H47+$I47),(IF(S$33&gt;$H47,$A47,"")),""))),"")</f>
        <v/>
      </c>
      <c r="T47" s="42">
        <f>IFERROR(IF($H47+$I47=T$33,$A47,(IF((T$33&lt;$H47+$I47),(IF(T$33&gt;$H47,$A47,"")),""))),"")</f>
        <v/>
      </c>
      <c r="U47" s="42">
        <f>IFERROR(IF($H47+$I47=U$33,$A47,(IF((U$33&lt;$H47+$I47),(IF(U$33&gt;$H47,$A47,"")),""))),"")</f>
        <v/>
      </c>
      <c r="V47" s="42">
        <f>IFERROR(IF($H47+$I47=V$33,$A47,(IF((V$33&lt;$H47+$I47),(IF(V$33&gt;$H47,$A47,"")),""))),"")</f>
        <v/>
      </c>
      <c r="W47" s="42">
        <f>IFERROR(IF($H47+$I47=W$33,$A47,(IF((W$33&lt;$H47+$I47),(IF(W$33&gt;$H47,$A47,"")),""))),"")</f>
        <v/>
      </c>
      <c r="X47" s="42">
        <f>IFERROR(IF($H47+$I47=X$33,$A47,(IF((X$33&lt;$H47+$I47),(IF(X$33&gt;$H47,$A47,"")),""))),"")</f>
        <v/>
      </c>
      <c r="Y47" s="42">
        <f>IFERROR(IF($H47+$I47=Y$33,$A47,(IF((Y$33&lt;$H47+$I47),(IF(Y$33&gt;$H47,$A47,"")),""))),"")</f>
        <v/>
      </c>
      <c r="Z47" s="42">
        <f>IFERROR(IF($H47+$I47=Z$33,$A47,(IF((Z$33&lt;$H47+$I47),(IF(Z$33&gt;$H47,$A47,"")),""))),"")</f>
        <v/>
      </c>
      <c r="AA47" s="42">
        <f>IFERROR(IF($H47+$I47=AA$33,$A47,(IF((AA$33&lt;$H47+$I47),(IF(AA$33&gt;$H47,$A47,"")),""))),"")</f>
        <v/>
      </c>
      <c r="AB47" s="42">
        <f>IFERROR(IF($H47+$I47=AB$33,$A47,(IF((AB$33&lt;$H47+$I47),(IF(AB$33&gt;$H47,$A47,"")),""))),"")</f>
        <v/>
      </c>
      <c r="AC47" s="42">
        <f>IFERROR(IF($H47+$I47=AC$33,$A47,(IF((AC$33&lt;$H47+$I47),(IF(AC$33&gt;$H47,$A47,"")),""))),"")</f>
        <v/>
      </c>
      <c r="AD47" s="42">
        <f>IFERROR(IF($H47+$I47=AD$33,$A47,(IF((AD$33&lt;$H47+$I47),(IF(AD$33&gt;$H47,$A47,"")),""))),"")</f>
        <v/>
      </c>
      <c r="AE47" s="42">
        <f>IFERROR(IF($H47+$I47=AE$33,$A47,(IF((AE$33&lt;$H47+$I47),(IF(AE$33&gt;$H47,$A47,"")),""))),"")</f>
        <v/>
      </c>
      <c r="AF47" s="42">
        <f>IFERROR(IF($H47+$I47=AF$33,$A47,(IF((AF$33&lt;$H47+$I47),(IF(AF$33&gt;$H47,$A47,"")),""))),"")</f>
        <v/>
      </c>
      <c r="AG47" s="42">
        <f>IFERROR(IF($H47+$I47=AG$33,$A47,(IF((AG$33&lt;$H47+$I47),(IF(AG$33&gt;$H47,$A47,"")),""))),"")</f>
        <v/>
      </c>
      <c r="AH47" s="42">
        <f>IFERROR(IF($H47+$I47=AH$33,$A47,(IF((AH$33&lt;$H47+$I47),(IF(AH$33&gt;$H47,$A47,"")),""))),"")</f>
        <v/>
      </c>
      <c r="AI47" s="42">
        <f>IFERROR(IF($H47+$I47=AI$33,$A47,(IF((AI$33&lt;$H47+$I47),(IF(AI$33&gt;$H47,$A47,"")),""))),"")</f>
        <v/>
      </c>
      <c r="AJ47" s="42">
        <f>IFERROR(IF($H47+$I47=AJ$33,$A47,(IF((AJ$33&lt;$H47+$I47),(IF(AJ$33&gt;$H47,$A47,"")),""))),"")</f>
        <v/>
      </c>
      <c r="AK47" s="42">
        <f>IFERROR(IF($H47+$I47=AK$33,$A47,(IF((AK$33&lt;$H47+$I47),(IF(AK$33&gt;$H47,$A47,"")),""))),"")</f>
        <v/>
      </c>
      <c r="AL47" s="42">
        <f>IFERROR(IF($H47+$I47=AL$33,$A47,(IF((AL$33&lt;$H47+$I47),(IF(AL$33&gt;$H47,$A47,"")),""))),"")</f>
        <v/>
      </c>
      <c r="AM47" s="42">
        <f>IFERROR(IF($H47+$I47=AM$33,$A47,(IF((AM$33&lt;$H47+$I47),(IF(AM$33&gt;$H47,$A47,"")),""))),"")</f>
        <v/>
      </c>
      <c r="AN47" s="42">
        <f>IFERROR(IF($H47+$I47=AN$33,$A47,(IF((AN$33&lt;$H47+$I47),(IF(AN$33&gt;$H47,$A47,"")),""))),"")</f>
        <v/>
      </c>
      <c r="AO47" s="42">
        <f>IFERROR(IF($H47+$I47=AO$33,$A47,(IF((AO$33&lt;$H47+$I47),(IF(AO$33&gt;$H47,$A47,"")),""))),"")</f>
        <v/>
      </c>
      <c r="AP47" s="42">
        <f>IFERROR(IF($H47+$I47=AP$33,$A47,(IF((AP$33&lt;$H47+$I47),(IF(AP$33&gt;$H47,$A47,"")),""))),"")</f>
        <v/>
      </c>
      <c r="AQ47" s="42">
        <f>IFERROR(IF($H47+$I47=AQ$33,$A47,(IF((AQ$33&lt;$H47+$I47),(IF(AQ$33&gt;$H47,$A47,"")),""))),"")</f>
        <v/>
      </c>
      <c r="AR47" s="42">
        <f>IFERROR(IF($H47+$I47=AR$33,$A47,(IF((AR$33&lt;$H47+$I47),(IF(AR$33&gt;$H47,$A47,"")),""))),"")</f>
        <v/>
      </c>
      <c r="AS47" s="42">
        <f>IFERROR(IF($H47+$I47=AS$33,$A47,(IF((AS$33&lt;$H47+$I47),(IF(AS$33&gt;$H47,$A47,"")),""))),"")</f>
        <v/>
      </c>
      <c r="AT47" s="42">
        <f>IFERROR(IF($H47+$I47=AT$33,$A47,(IF((AT$33&lt;$H47+$I47),(IF(AT$33&gt;$H47,$A47,"")),""))),"")</f>
        <v/>
      </c>
      <c r="AU47" s="42">
        <f>IFERROR(IF($H47+$I47=AU$33,$A47,(IF((AU$33&lt;$H47+$I47),(IF(AU$33&gt;$H47,$A47,"")),""))),"")</f>
        <v/>
      </c>
      <c r="AV47" s="42">
        <f>IFERROR(IF($H47+$I47=AV$33,$A47,(IF((AV$33&lt;$H47+$I47),(IF(AV$33&gt;$H47,$A47,"")),""))),"")</f>
        <v/>
      </c>
      <c r="AW47" s="42">
        <f>IFERROR(IF($H47+$I47=AW$33,$A47,(IF((AW$33&lt;$H47+$I47),(IF(AW$33&gt;$H47,$A47,"")),""))),"")</f>
        <v/>
      </c>
      <c r="AX47" s="42">
        <f>IFERROR(IF($H47+$I47=AX$33,$A47,(IF((AX$33&lt;$H47+$I47),(IF(AX$33&gt;$H47,$A47,"")),""))),"")</f>
        <v/>
      </c>
      <c r="AY47" s="42">
        <f>IFERROR(IF($H47+$I47=AY$33,$A47,(IF((AY$33&lt;$H47+$I47),(IF(AY$33&gt;$H47,$A47,"")),""))),"")</f>
        <v/>
      </c>
      <c r="AZ47" s="42">
        <f>IFERROR(IF($H47+$I47=AZ$33,$A47,(IF((AZ$33&lt;$H47+$I47),(IF(AZ$33&gt;$H47,$A47,"")),""))),"")</f>
        <v/>
      </c>
      <c r="BA47" s="42">
        <f>IFERROR(IF($H47+$I47=BA$33,$A47,(IF((BA$33&lt;$H47+$I47),(IF(BA$33&gt;$H47,$A47,"")),""))),"")</f>
        <v/>
      </c>
      <c r="BB47" s="42">
        <f>IFERROR(IF($H47+$I47=BB$33,$A47,(IF((BB$33&lt;$H47+$I47),(IF(BB$33&gt;$H47,$A47,"")),""))),"")</f>
        <v/>
      </c>
      <c r="BC47" s="42">
        <f>IFERROR(IF($H47+$I47=BC$33,$A47,(IF((BC$33&lt;$H47+$I47),(IF(BC$33&gt;$H47,$A47,"")),""))),"")</f>
        <v/>
      </c>
      <c r="BD47" s="42">
        <f>IFERROR(IF($H47+$I47=BD$33,$A47,(IF((BD$33&lt;$H47+$I47),(IF(BD$33&gt;$H47,$A47,"")),""))),"")</f>
        <v/>
      </c>
      <c r="BE47" s="154">
        <f>IFERROR(IF($H47+$I47=BE$33,$A47,(IF((BE$33&lt;$H47+$I47),(IF(BE$33&gt;$H47,$A47,"")),""))),"")</f>
        <v/>
      </c>
      <c r="BF47" s="42">
        <f>IFERROR(IF($H47+$I47=BF$33,$A47,(IF((BF$33&lt;$H47+$I47),(IF(BF$33&gt;$H47,$A47,"")),""))),"")</f>
        <v/>
      </c>
      <c r="BG47" s="42">
        <f>IFERROR(IF($H47+$I47=BG$33,$A47,(IF((BG$33&lt;$H47+$I47),(IF(BG$33&gt;$H47,$A47,"")),""))),"")</f>
        <v/>
      </c>
      <c r="BH47" s="42">
        <f>IFERROR(IF($H47+$I47=BH$33,$A47,(IF((BH$33&lt;$H47+$I47),(IF(BH$33&gt;$H47,$A47,"")),""))),"")</f>
        <v/>
      </c>
      <c r="BI47" s="42">
        <f>IFERROR(IF($H47+$I47=BI$33,$A47,(IF((BI$33&lt;$H47+$I47),(IF(BI$33&gt;$H47,$A47,"")),""))),"")</f>
        <v/>
      </c>
      <c r="BJ47" s="42">
        <f>IFERROR(IF($H47+$I47=BJ$33,$A47,(IF((BJ$33&lt;$H47+$I47),(IF(BJ$33&gt;$H47,$A47,"")),""))),"")</f>
        <v/>
      </c>
      <c r="BK47" s="42">
        <f>IFERROR(IF($H47+$I47=BK$33,$A47,(IF((BK$33&lt;$H47+$I47),(IF(BK$33&gt;$H47,$A47,"")),""))),"")</f>
        <v/>
      </c>
      <c r="BL47" s="42">
        <f>IFERROR(IF($H47+$I47=BL$33,$A47,(IF((BL$33&lt;$H47+$I47),(IF(BL$33&gt;$H47,$A47,"")),""))),"")</f>
        <v/>
      </c>
      <c r="BM47" s="42">
        <f>IFERROR(IF($H47+$I47=BM$33,$A47,(IF((BM$33&lt;$H47+$I47),(IF(BM$33&gt;$H47,$A47,"")),""))),"")</f>
        <v/>
      </c>
      <c r="BN47" s="42">
        <f>IFERROR(IF($H47+$I47=BN$33,$A47,(IF((BN$33&lt;$H47+$I47),(IF(BN$33&gt;$H47,$A47,"")),""))),"")</f>
        <v/>
      </c>
      <c r="BO47" s="42">
        <f>IFERROR(IF($H47+$I47=BO$33,$A47,(IF((BO$33&lt;$H47+$I47),(IF(BO$33&gt;$H47,$A47,"")),""))),"")</f>
        <v/>
      </c>
      <c r="BP47" s="42">
        <f>IFERROR(IF($H47+$I47=BP$33,$A47,(IF((BP$33&lt;$H47+$I47),(IF(BP$33&gt;$H47,$A47,"")),""))),"")</f>
        <v/>
      </c>
      <c r="BQ47" s="42">
        <f>IFERROR(IF($H47+$I47=BQ$33,$A47,(IF((BQ$33&lt;$H47+$I47),(IF(BQ$33&gt;$H47,$A47,"")),""))),"")</f>
        <v/>
      </c>
      <c r="BR47" s="42">
        <f>IFERROR(IF($H47+$I47=BR$33,$A47,(IF((BR$33&lt;$H47+$I47),(IF(BR$33&gt;$H47,$A47,"")),""))),"")</f>
        <v/>
      </c>
      <c r="BS47" s="42">
        <f>IFERROR(IF($H47+$I47=BS$33,$A47,(IF((BS$33&lt;$H47+$I47),(IF(BS$33&gt;$H47,$A47,"")),""))),"")</f>
        <v/>
      </c>
      <c r="BT47" s="42">
        <f>IFERROR(IF($H47+$I47=BT$33,$A47,(IF((BT$33&lt;$H47+$I47),(IF(BT$33&gt;$H47,$A47,"")),""))),"")</f>
        <v/>
      </c>
      <c r="BU47" s="42">
        <f>IFERROR(IF($H47+$I47=BU$33,$A47,(IF((BU$33&lt;$H47+$I47),(IF(BU$33&gt;$H47,$A47,"")),""))),"")</f>
        <v/>
      </c>
      <c r="BV47" s="42">
        <f>IFERROR(IF($H47+$I47=BV$33,$A47,(IF((BV$33&lt;$H47+$I47),(IF(BV$33&gt;$H47,$A47,"")),""))),"")</f>
        <v/>
      </c>
      <c r="BW47" s="42">
        <f>IFERROR(IF($H47+$I47=BW$33,$A47,(IF((BW$33&lt;$H47+$I47),(IF(BW$33&gt;$H47,$A47,"")),""))),"")</f>
        <v/>
      </c>
      <c r="BX47" s="42">
        <f>IFERROR(IF($H47+$I47=BX$33,$A47,(IF((BX$33&lt;$H47+$I47),(IF(BX$33&gt;$H47,$A47,"")),""))),"")</f>
        <v/>
      </c>
      <c r="BY47" s="42">
        <f>IFERROR(IF($H47+$I47=BY$33,$A47,(IF((BY$33&lt;$H47+$I47),(IF(BY$33&gt;$H47,$A47,"")),""))),"")</f>
        <v/>
      </c>
      <c r="BZ47" s="42">
        <f>IFERROR(IF($H47+$I47=BZ$33,$A47,(IF((BZ$33&lt;$H47+$I47),(IF(BZ$33&gt;$H47,$A47,"")),""))),"")</f>
        <v/>
      </c>
      <c r="CA47" s="42">
        <f>IFERROR(IF($H47+$I47=CA$33,$A47,(IF((CA$33&lt;$H47+$I47),(IF(CA$33&gt;$H47,$A47,"")),""))),"")</f>
        <v/>
      </c>
      <c r="CB47" s="42">
        <f>IFERROR(IF($H47+$I47=CB$33,$A47,(IF((CB$33&lt;$H47+$I47),(IF(CB$33&gt;$H47,$A47,"")),""))),"")</f>
        <v/>
      </c>
      <c r="CC47" s="42">
        <f>IFERROR(IF($H47+$I47=CC$33,$A47,(IF((CC$33&lt;$H47+$I47),(IF(CC$33&gt;$H47,$A47,"")),""))),"")</f>
        <v/>
      </c>
      <c r="CD47" s="42">
        <f>IFERROR(IF($H47+$I47=CD$33,$A47,(IF((CD$33&lt;$H47+$I47),(IF(CD$33&gt;$H47,$A47,"")),""))),"")</f>
        <v/>
      </c>
      <c r="CE47" s="42">
        <f>IFERROR(IF($H47+$I47=CE$33,$A47,(IF((CE$33&lt;$H47+$I47),(IF(CE$33&gt;$H47,$A47,"")),""))),"")</f>
        <v/>
      </c>
      <c r="CF47" s="42">
        <f>IFERROR(IF($H47+$I47=CF$33,$A47,(IF((CF$33&lt;$H47+$I47),(IF(CF$33&gt;$H47,$A47,"")),""))),"")</f>
        <v/>
      </c>
      <c r="CG47" s="42">
        <f>IFERROR(IF($H47+$I47=CG$33,$A47,(IF((CG$33&lt;$H47+$I47),(IF(CG$33&gt;$H47,$A47,"")),""))),"")</f>
        <v/>
      </c>
      <c r="CH47" s="42">
        <f>IFERROR(IF($H47+$I47=CH$33,$A47,(IF((CH$33&lt;$H47+$I47),(IF(CH$33&gt;$H47,$A47,"")),""))),"")</f>
        <v/>
      </c>
      <c r="CI47" s="42">
        <f>IFERROR(IF($H47+$I47=CI$33,$A47,(IF((CI$33&lt;$H47+$I47),(IF(CI$33&gt;$H47,$A47,"")),""))),"")</f>
        <v/>
      </c>
      <c r="CJ47" s="42">
        <f>IFERROR(IF($H47+$I47=CJ$33,$A47,(IF((CJ$33&lt;$H47+$I47),(IF(CJ$33&gt;$H47,$A47,"")),""))),"")</f>
        <v/>
      </c>
      <c r="CK47" s="42">
        <f>IFERROR(IF($H47+$I47=CK$33,$A47,(IF((CK$33&lt;$H47+$I47),(IF(CK$33&gt;$H47,$A47,"")),""))),"")</f>
        <v/>
      </c>
      <c r="CL47" s="42">
        <f>IFERROR(IF($H47+$I47=CL$33,$A47,(IF((CL$33&lt;$H47+$I47),(IF(CL$33&gt;$H47,$A47,"")),""))),"")</f>
        <v/>
      </c>
      <c r="CM47" s="42">
        <f>IFERROR(IF($H47+$I47=CM$33,$A47,(IF((CM$33&lt;$H47+$I47),(IF(CM$33&gt;$H47,$A47,"")),""))),"")</f>
        <v/>
      </c>
      <c r="CN47" s="42">
        <f>IFERROR(IF($H47+$I47=CN$33,$A47,(IF((CN$33&lt;$H47+$I47),(IF(CN$33&gt;$H47,$A47,"")),""))),"")</f>
        <v/>
      </c>
      <c r="CO47" s="42">
        <f>IFERROR(IF($H47+$I47=CO$33,$A47,(IF((CO$33&lt;$H47+$I47),(IF(CO$33&gt;$H47,$A47,"")),""))),"")</f>
        <v/>
      </c>
      <c r="CP47" s="42">
        <f>IFERROR(IF($H47+$I47=CP$33,$A47,(IF((CP$33&lt;$H47+$I47),(IF(CP$33&gt;$H47,$A47,"")),""))),"")</f>
        <v/>
      </c>
      <c r="CQ47" s="42">
        <f>IFERROR(IF($H47+$I47=CQ$33,$A47,(IF((CQ$33&lt;$H47+$I47),(IF(CQ$33&gt;$H47,$A47,"")),""))),"")</f>
        <v/>
      </c>
      <c r="CR47" s="42">
        <f>IFERROR(IF($H47+$I47=CR$33,$A47,(IF((CR$33&lt;$H47+$I47),(IF(CR$33&gt;$H47,$A47,"")),""))),"")</f>
        <v/>
      </c>
      <c r="CS47" s="42">
        <f>IFERROR(IF($H47+$I47=CS$33,$A47,(IF((CS$33&lt;$H47+$I47),(IF(CS$33&gt;$H47,$A47,"")),""))),"")</f>
        <v/>
      </c>
      <c r="CT47" s="42">
        <f>IFERROR(IF($H47+$I47=CT$33,$A47,(IF((CT$33&lt;$H47+$I47),(IF(CT$33&gt;$H47,$A47,"")),""))),"")</f>
        <v/>
      </c>
      <c r="CU47" s="42">
        <f>IFERROR(IF($H47+$I47=CU$33,$A47,(IF((CU$33&lt;$H47+$I47),(IF(CU$33&gt;$H47,$A47,"")),""))),"")</f>
        <v/>
      </c>
      <c r="CV47" s="42">
        <f>IFERROR(IF($H47+$I47=CV$33,$A47,(IF((CV$33&lt;$H47+$I47),(IF(CV$33&gt;$H47,$A47,"")),""))),"")</f>
        <v/>
      </c>
      <c r="CW47" s="42">
        <f>IFERROR(IF($H47+$I47=CW$33,$A47,(IF((CW$33&lt;$H47+$I47),(IF(CW$33&gt;$H47,$A47,"")),""))),"")</f>
        <v/>
      </c>
      <c r="CX47" s="42">
        <f>IFERROR(IF($H47+$I47=CX$33,$A47,(IF((CX$33&lt;$H47+$I47),(IF(CX$33&gt;$H47,$A47,"")),""))),"")</f>
        <v/>
      </c>
      <c r="CY47" s="42">
        <f>IFERROR(IF($H47+$I47=CY$33,$A47,(IF((CY$33&lt;$H47+$I47),(IF(CY$33&gt;$H47,$A47,"")),""))),"")</f>
        <v/>
      </c>
      <c r="CZ47" s="42">
        <f>IFERROR(IF($H47+$I47=CZ$33,$A47,(IF((CZ$33&lt;$H47+$I47),(IF(CZ$33&gt;$H47,$A47,"")),""))),"")</f>
        <v/>
      </c>
      <c r="DA47" s="43">
        <f>IFERROR(IF($H47+$I47=DA$33,$A47,(IF((DA$33&lt;$H47+$I47),(IF(DA$33&gt;$H47,$A47,"")),""))),"")</f>
        <v/>
      </c>
    </row>
    <row r="48" ht="14.4" customHeight="1">
      <c r="A48" s="32" t="n">
        <v>2</v>
      </c>
      <c r="B48" s="536" t="n"/>
      <c r="C48" s="547" t="n"/>
      <c r="D48" s="273" t="inlineStr">
        <is>
          <t>Material Delivery</t>
        </is>
      </c>
      <c r="E48" s="30" t="n"/>
      <c r="F48" s="30" t="n"/>
      <c r="G48" s="227" t="n"/>
      <c r="H48" s="215" t="n"/>
      <c r="I48" s="256" t="n"/>
      <c r="J48" s="42">
        <f>IFERROR(IF($H48+$I48=J$33,$A48,(IF((J$33&lt;$H48+$I48),(IF(J$33&gt;$H48,$A48,"")),""))),"")</f>
        <v/>
      </c>
      <c r="K48" s="42">
        <f>IFERROR(IF($H48+$I48=K$33,$A48,(IF((K$33&lt;$H48+$I48),(IF(K$33&gt;$H48,$A48,"")),""))),"")</f>
        <v/>
      </c>
      <c r="L48" s="42">
        <f>IFERROR(IF($H48+$I48=L$33,$A48,(IF((L$33&lt;$H48+$I48),(IF(L$33&gt;$H48,$A48,"")),""))),"")</f>
        <v/>
      </c>
      <c r="M48" s="42">
        <f>IFERROR(IF($H48+$I48=M$33,$A48,(IF((M$33&lt;$H48+$I48),(IF(M$33&gt;$H48,$A48,"")),""))),"")</f>
        <v/>
      </c>
      <c r="N48" s="42">
        <f>IFERROR(IF($H48+$I48=N$33,$A48,(IF((N$33&lt;$H48+$I48),(IF(N$33&gt;$H48,$A48,"")),""))),"")</f>
        <v/>
      </c>
      <c r="O48" s="42">
        <f>IFERROR(IF($H48+$I48=O$33,$A48,(IF((O$33&lt;$H48+$I48),(IF(O$33&gt;$H48,$A48,"")),""))),"")</f>
        <v/>
      </c>
      <c r="P48" s="42">
        <f>IFERROR(IF($H48+$I48=P$33,$A48,(IF((P$33&lt;$H48+$I48),(IF(P$33&gt;$H48,$A48,"")),""))),"")</f>
        <v/>
      </c>
      <c r="Q48" s="42">
        <f>IFERROR(IF($H48+$I48=Q$33,$A48,(IF((Q$33&lt;$H48+$I48),(IF(Q$33&gt;$H48,$A48,"")),""))),"")</f>
        <v/>
      </c>
      <c r="R48" s="42">
        <f>IFERROR(IF($H48+$I48=R$33,$A48,(IF((R$33&lt;$H48+$I48),(IF(R$33&gt;$H48,$A48,"")),""))),"")</f>
        <v/>
      </c>
      <c r="S48" s="42">
        <f>IFERROR(IF($H48+$I48=S$33,$A48,(IF((S$33&lt;$H48+$I48),(IF(S$33&gt;$H48,$A48,"")),""))),"")</f>
        <v/>
      </c>
      <c r="T48" s="42">
        <f>IFERROR(IF($H48+$I48=T$33,$A48,(IF((T$33&lt;$H48+$I48),(IF(T$33&gt;$H48,$A48,"")),""))),"")</f>
        <v/>
      </c>
      <c r="U48" s="42">
        <f>IFERROR(IF($H48+$I48=U$33,$A48,(IF((U$33&lt;$H48+$I48),(IF(U$33&gt;$H48,$A48,"")),""))),"")</f>
        <v/>
      </c>
      <c r="V48" s="42">
        <f>IFERROR(IF($H48+$I48=V$33,$A48,(IF((V$33&lt;$H48+$I48),(IF(V$33&gt;$H48,$A48,"")),""))),"")</f>
        <v/>
      </c>
      <c r="W48" s="42">
        <f>IFERROR(IF($H48+$I48=W$33,$A48,(IF((W$33&lt;$H48+$I48),(IF(W$33&gt;$H48,$A48,"")),""))),"")</f>
        <v/>
      </c>
      <c r="X48" s="42">
        <f>IFERROR(IF($H48+$I48=X$33,$A48,(IF((X$33&lt;$H48+$I48),(IF(X$33&gt;$H48,$A48,"")),""))),"")</f>
        <v/>
      </c>
      <c r="Y48" s="42">
        <f>IFERROR(IF($H48+$I48=Y$33,$A48,(IF((Y$33&lt;$H48+$I48),(IF(Y$33&gt;$H48,$A48,"")),""))),"")</f>
        <v/>
      </c>
      <c r="Z48" s="42">
        <f>IFERROR(IF($H48+$I48=Z$33,$A48,(IF((Z$33&lt;$H48+$I48),(IF(Z$33&gt;$H48,$A48,"")),""))),"")</f>
        <v/>
      </c>
      <c r="AA48" s="42">
        <f>IFERROR(IF($H48+$I48=AA$33,$A48,(IF((AA$33&lt;$H48+$I48),(IF(AA$33&gt;$H48,$A48,"")),""))),"")</f>
        <v/>
      </c>
      <c r="AB48" s="42">
        <f>IFERROR(IF($H48+$I48=AB$33,$A48,(IF((AB$33&lt;$H48+$I48),(IF(AB$33&gt;$H48,$A48,"")),""))),"")</f>
        <v/>
      </c>
      <c r="AC48" s="42">
        <f>IFERROR(IF($H48+$I48=AC$33,$A48,(IF((AC$33&lt;$H48+$I48),(IF(AC$33&gt;$H48,$A48,"")),""))),"")</f>
        <v/>
      </c>
      <c r="AD48" s="42">
        <f>IFERROR(IF($H48+$I48=AD$33,$A48,(IF((AD$33&lt;$H48+$I48),(IF(AD$33&gt;$H48,$A48,"")),""))),"")</f>
        <v/>
      </c>
      <c r="AE48" s="42">
        <f>IFERROR(IF($H48+$I48=AE$33,$A48,(IF((AE$33&lt;$H48+$I48),(IF(AE$33&gt;$H48,$A48,"")),""))),"")</f>
        <v/>
      </c>
      <c r="AF48" s="42">
        <f>IFERROR(IF($H48+$I48=AF$33,$A48,(IF((AF$33&lt;$H48+$I48),(IF(AF$33&gt;$H48,$A48,"")),""))),"")</f>
        <v/>
      </c>
      <c r="AG48" s="42">
        <f>IFERROR(IF($H48+$I48=AG$33,$A48,(IF((AG$33&lt;$H48+$I48),(IF(AG$33&gt;$H48,$A48,"")),""))),"")</f>
        <v/>
      </c>
      <c r="AH48" s="42">
        <f>IFERROR(IF($H48+$I48=AH$33,$A48,(IF((AH$33&lt;$H48+$I48),(IF(AH$33&gt;$H48,$A48,"")),""))),"")</f>
        <v/>
      </c>
      <c r="AI48" s="42">
        <f>IFERROR(IF($H48+$I48=AI$33,$A48,(IF((AI$33&lt;$H48+$I48),(IF(AI$33&gt;$H48,$A48,"")),""))),"")</f>
        <v/>
      </c>
      <c r="AJ48" s="42">
        <f>IFERROR(IF($H48+$I48=AJ$33,$A48,(IF((AJ$33&lt;$H48+$I48),(IF(AJ$33&gt;$H48,$A48,"")),""))),"")</f>
        <v/>
      </c>
      <c r="AK48" s="42">
        <f>IFERROR(IF($H48+$I48=AK$33,$A48,(IF((AK$33&lt;$H48+$I48),(IF(AK$33&gt;$H48,$A48,"")),""))),"")</f>
        <v/>
      </c>
      <c r="AL48" s="42">
        <f>IFERROR(IF($H48+$I48=AL$33,$A48,(IF((AL$33&lt;$H48+$I48),(IF(AL$33&gt;$H48,$A48,"")),""))),"")</f>
        <v/>
      </c>
      <c r="AM48" s="42">
        <f>IFERROR(IF($H48+$I48=AM$33,$A48,(IF((AM$33&lt;$H48+$I48),(IF(AM$33&gt;$H48,$A48,"")),""))),"")</f>
        <v/>
      </c>
      <c r="AN48" s="42">
        <f>IFERROR(IF($H48+$I48=AN$33,$A48,(IF((AN$33&lt;$H48+$I48),(IF(AN$33&gt;$H48,$A48,"")),""))),"")</f>
        <v/>
      </c>
      <c r="AO48" s="42">
        <f>IFERROR(IF($H48+$I48=AO$33,$A48,(IF((AO$33&lt;$H48+$I48),(IF(AO$33&gt;$H48,$A48,"")),""))),"")</f>
        <v/>
      </c>
      <c r="AP48" s="42">
        <f>IFERROR(IF($H48+$I48=AP$33,$A48,(IF((AP$33&lt;$H48+$I48),(IF(AP$33&gt;$H48,$A48,"")),""))),"")</f>
        <v/>
      </c>
      <c r="AQ48" s="42">
        <f>IFERROR(IF($H48+$I48=AQ$33,$A48,(IF((AQ$33&lt;$H48+$I48),(IF(AQ$33&gt;$H48,$A48,"")),""))),"")</f>
        <v/>
      </c>
      <c r="AR48" s="42">
        <f>IFERROR(IF($H48+$I48=AR$33,$A48,(IF((AR$33&lt;$H48+$I48),(IF(AR$33&gt;$H48,$A48,"")),""))),"")</f>
        <v/>
      </c>
      <c r="AS48" s="42">
        <f>IFERROR(IF($H48+$I48=AS$33,$A48,(IF((AS$33&lt;$H48+$I48),(IF(AS$33&gt;$H48,$A48,"")),""))),"")</f>
        <v/>
      </c>
      <c r="AT48" s="42">
        <f>IFERROR(IF($H48+$I48=AT$33,$A48,(IF((AT$33&lt;$H48+$I48),(IF(AT$33&gt;$H48,$A48,"")),""))),"")</f>
        <v/>
      </c>
      <c r="AU48" s="42">
        <f>IFERROR(IF($H48+$I48=AU$33,$A48,(IF((AU$33&lt;$H48+$I48),(IF(AU$33&gt;$H48,$A48,"")),""))),"")</f>
        <v/>
      </c>
      <c r="AV48" s="42">
        <f>IFERROR(IF($H48+$I48=AV$33,$A48,(IF((AV$33&lt;$H48+$I48),(IF(AV$33&gt;$H48,$A48,"")),""))),"")</f>
        <v/>
      </c>
      <c r="AW48" s="42">
        <f>IFERROR(IF($H48+$I48=AW$33,$A48,(IF((AW$33&lt;$H48+$I48),(IF(AW$33&gt;$H48,$A48,"")),""))),"")</f>
        <v/>
      </c>
      <c r="AX48" s="42">
        <f>IFERROR(IF($H48+$I48=AX$33,$A48,(IF((AX$33&lt;$H48+$I48),(IF(AX$33&gt;$H48,$A48,"")),""))),"")</f>
        <v/>
      </c>
      <c r="AY48" s="42">
        <f>IFERROR(IF($H48+$I48=AY$33,$A48,(IF((AY$33&lt;$H48+$I48),(IF(AY$33&gt;$H48,$A48,"")),""))),"")</f>
        <v/>
      </c>
      <c r="AZ48" s="42">
        <f>IFERROR(IF($H48+$I48=AZ$33,$A48,(IF((AZ$33&lt;$H48+$I48),(IF(AZ$33&gt;$H48,$A48,"")),""))),"")</f>
        <v/>
      </c>
      <c r="BA48" s="42">
        <f>IFERROR(IF($H48+$I48=BA$33,$A48,(IF((BA$33&lt;$H48+$I48),(IF(BA$33&gt;$H48,$A48,"")),""))),"")</f>
        <v/>
      </c>
      <c r="BB48" s="42">
        <f>IFERROR(IF($H48+$I48=BB$33,$A48,(IF((BB$33&lt;$H48+$I48),(IF(BB$33&gt;$H48,$A48,"")),""))),"")</f>
        <v/>
      </c>
      <c r="BC48" s="42">
        <f>IFERROR(IF($H48+$I48=BC$33,$A48,(IF((BC$33&lt;$H48+$I48),(IF(BC$33&gt;$H48,$A48,"")),""))),"")</f>
        <v/>
      </c>
      <c r="BD48" s="42">
        <f>IFERROR(IF($H48+$I48=BD$33,$A48,(IF((BD$33&lt;$H48+$I48),(IF(BD$33&gt;$H48,$A48,"")),""))),"")</f>
        <v/>
      </c>
      <c r="BE48" s="154">
        <f>IFERROR(IF($H48+$I48=BE$33,$A48,(IF((BE$33&lt;$H48+$I48),(IF(BE$33&gt;$H48,$A48,"")),""))),"")</f>
        <v/>
      </c>
      <c r="BF48" s="42">
        <f>IFERROR(IF($H48+$I48=BF$33,$A48,(IF((BF$33&lt;$H48+$I48),(IF(BF$33&gt;$H48,$A48,"")),""))),"")</f>
        <v/>
      </c>
      <c r="BG48" s="42">
        <f>IFERROR(IF($H48+$I48=BG$33,$A48,(IF((BG$33&lt;$H48+$I48),(IF(BG$33&gt;$H48,$A48,"")),""))),"")</f>
        <v/>
      </c>
      <c r="BH48" s="42">
        <f>IFERROR(IF($H48+$I48=BH$33,$A48,(IF((BH$33&lt;$H48+$I48),(IF(BH$33&gt;$H48,$A48,"")),""))),"")</f>
        <v/>
      </c>
      <c r="BI48" s="42">
        <f>IFERROR(IF($H48+$I48=BI$33,$A48,(IF((BI$33&lt;$H48+$I48),(IF(BI$33&gt;$H48,$A48,"")),""))),"")</f>
        <v/>
      </c>
      <c r="BJ48" s="42">
        <f>IFERROR(IF($H48+$I48=BJ$33,$A48,(IF((BJ$33&lt;$H48+$I48),(IF(BJ$33&gt;$H48,$A48,"")),""))),"")</f>
        <v/>
      </c>
      <c r="BK48" s="42">
        <f>IFERROR(IF($H48+$I48=BK$33,$A48,(IF((BK$33&lt;$H48+$I48),(IF(BK$33&gt;$H48,$A48,"")),""))),"")</f>
        <v/>
      </c>
      <c r="BL48" s="42">
        <f>IFERROR(IF($H48+$I48=BL$33,$A48,(IF((BL$33&lt;$H48+$I48),(IF(BL$33&gt;$H48,$A48,"")),""))),"")</f>
        <v/>
      </c>
      <c r="BM48" s="42">
        <f>IFERROR(IF($H48+$I48=BM$33,$A48,(IF((BM$33&lt;$H48+$I48),(IF(BM$33&gt;$H48,$A48,"")),""))),"")</f>
        <v/>
      </c>
      <c r="BN48" s="42">
        <f>IFERROR(IF($H48+$I48=BN$33,$A48,(IF((BN$33&lt;$H48+$I48),(IF(BN$33&gt;$H48,$A48,"")),""))),"")</f>
        <v/>
      </c>
      <c r="BO48" s="42">
        <f>IFERROR(IF($H48+$I48=BO$33,$A48,(IF((BO$33&lt;$H48+$I48),(IF(BO$33&gt;$H48,$A48,"")),""))),"")</f>
        <v/>
      </c>
      <c r="BP48" s="42">
        <f>IFERROR(IF($H48+$I48=BP$33,$A48,(IF((BP$33&lt;$H48+$I48),(IF(BP$33&gt;$H48,$A48,"")),""))),"")</f>
        <v/>
      </c>
      <c r="BQ48" s="42">
        <f>IFERROR(IF($H48+$I48=BQ$33,$A48,(IF((BQ$33&lt;$H48+$I48),(IF(BQ$33&gt;$H48,$A48,"")),""))),"")</f>
        <v/>
      </c>
      <c r="BR48" s="42">
        <f>IFERROR(IF($H48+$I48=BR$33,$A48,(IF((BR$33&lt;$H48+$I48),(IF(BR$33&gt;$H48,$A48,"")),""))),"")</f>
        <v/>
      </c>
      <c r="BS48" s="42">
        <f>IFERROR(IF($H48+$I48=BS$33,$A48,(IF((BS$33&lt;$H48+$I48),(IF(BS$33&gt;$H48,$A48,"")),""))),"")</f>
        <v/>
      </c>
      <c r="BT48" s="42">
        <f>IFERROR(IF($H48+$I48=BT$33,$A48,(IF((BT$33&lt;$H48+$I48),(IF(BT$33&gt;$H48,$A48,"")),""))),"")</f>
        <v/>
      </c>
      <c r="BU48" s="42">
        <f>IFERROR(IF($H48+$I48=BU$33,$A48,(IF((BU$33&lt;$H48+$I48),(IF(BU$33&gt;$H48,$A48,"")),""))),"")</f>
        <v/>
      </c>
      <c r="BV48" s="42">
        <f>IFERROR(IF($H48+$I48=BV$33,$A48,(IF((BV$33&lt;$H48+$I48),(IF(BV$33&gt;$H48,$A48,"")),""))),"")</f>
        <v/>
      </c>
      <c r="BW48" s="42">
        <f>IFERROR(IF($H48+$I48=BW$33,$A48,(IF((BW$33&lt;$H48+$I48),(IF(BW$33&gt;$H48,$A48,"")),""))),"")</f>
        <v/>
      </c>
      <c r="BX48" s="42">
        <f>IFERROR(IF($H48+$I48=BX$33,$A48,(IF((BX$33&lt;$H48+$I48),(IF(BX$33&gt;$H48,$A48,"")),""))),"")</f>
        <v/>
      </c>
      <c r="BY48" s="42">
        <f>IFERROR(IF($H48+$I48=BY$33,$A48,(IF((BY$33&lt;$H48+$I48),(IF(BY$33&gt;$H48,$A48,"")),""))),"")</f>
        <v/>
      </c>
      <c r="BZ48" s="42">
        <f>IFERROR(IF($H48+$I48=BZ$33,$A48,(IF((BZ$33&lt;$H48+$I48),(IF(BZ$33&gt;$H48,$A48,"")),""))),"")</f>
        <v/>
      </c>
      <c r="CA48" s="42">
        <f>IFERROR(IF($H48+$I48=CA$33,$A48,(IF((CA$33&lt;$H48+$I48),(IF(CA$33&gt;$H48,$A48,"")),""))),"")</f>
        <v/>
      </c>
      <c r="CB48" s="42">
        <f>IFERROR(IF($H48+$I48=CB$33,$A48,(IF((CB$33&lt;$H48+$I48),(IF(CB$33&gt;$H48,$A48,"")),""))),"")</f>
        <v/>
      </c>
      <c r="CC48" s="42">
        <f>IFERROR(IF($H48+$I48=CC$33,$A48,(IF((CC$33&lt;$H48+$I48),(IF(CC$33&gt;$H48,$A48,"")),""))),"")</f>
        <v/>
      </c>
      <c r="CD48" s="42">
        <f>IFERROR(IF($H48+$I48=CD$33,$A48,(IF((CD$33&lt;$H48+$I48),(IF(CD$33&gt;$H48,$A48,"")),""))),"")</f>
        <v/>
      </c>
      <c r="CE48" s="42">
        <f>IFERROR(IF($H48+$I48=CE$33,$A48,(IF((CE$33&lt;$H48+$I48),(IF(CE$33&gt;$H48,$A48,"")),""))),"")</f>
        <v/>
      </c>
      <c r="CF48" s="42">
        <f>IFERROR(IF($H48+$I48=CF$33,$A48,(IF((CF$33&lt;$H48+$I48),(IF(CF$33&gt;$H48,$A48,"")),""))),"")</f>
        <v/>
      </c>
      <c r="CG48" s="42">
        <f>IFERROR(IF($H48+$I48=CG$33,$A48,(IF((CG$33&lt;$H48+$I48),(IF(CG$33&gt;$H48,$A48,"")),""))),"")</f>
        <v/>
      </c>
      <c r="CH48" s="42">
        <f>IFERROR(IF($H48+$I48=CH$33,$A48,(IF((CH$33&lt;$H48+$I48),(IF(CH$33&gt;$H48,$A48,"")),""))),"")</f>
        <v/>
      </c>
      <c r="CI48" s="42">
        <f>IFERROR(IF($H48+$I48=CI$33,$A48,(IF((CI$33&lt;$H48+$I48),(IF(CI$33&gt;$H48,$A48,"")),""))),"")</f>
        <v/>
      </c>
      <c r="CJ48" s="42">
        <f>IFERROR(IF($H48+$I48=CJ$33,$A48,(IF((CJ$33&lt;$H48+$I48),(IF(CJ$33&gt;$H48,$A48,"")),""))),"")</f>
        <v/>
      </c>
      <c r="CK48" s="42">
        <f>IFERROR(IF($H48+$I48=CK$33,$A48,(IF((CK$33&lt;$H48+$I48),(IF(CK$33&gt;$H48,$A48,"")),""))),"")</f>
        <v/>
      </c>
      <c r="CL48" s="42">
        <f>IFERROR(IF($H48+$I48=CL$33,$A48,(IF((CL$33&lt;$H48+$I48),(IF(CL$33&gt;$H48,$A48,"")),""))),"")</f>
        <v/>
      </c>
      <c r="CM48" s="42">
        <f>IFERROR(IF($H48+$I48=CM$33,$A48,(IF((CM$33&lt;$H48+$I48),(IF(CM$33&gt;$H48,$A48,"")),""))),"")</f>
        <v/>
      </c>
      <c r="CN48" s="42">
        <f>IFERROR(IF($H48+$I48=CN$33,$A48,(IF((CN$33&lt;$H48+$I48),(IF(CN$33&gt;$H48,$A48,"")),""))),"")</f>
        <v/>
      </c>
      <c r="CO48" s="42">
        <f>IFERROR(IF($H48+$I48=CO$33,$A48,(IF((CO$33&lt;$H48+$I48),(IF(CO$33&gt;$H48,$A48,"")),""))),"")</f>
        <v/>
      </c>
      <c r="CP48" s="42">
        <f>IFERROR(IF($H48+$I48=CP$33,$A48,(IF((CP$33&lt;$H48+$I48),(IF(CP$33&gt;$H48,$A48,"")),""))),"")</f>
        <v/>
      </c>
      <c r="CQ48" s="42">
        <f>IFERROR(IF($H48+$I48=CQ$33,$A48,(IF((CQ$33&lt;$H48+$I48),(IF(CQ$33&gt;$H48,$A48,"")),""))),"")</f>
        <v/>
      </c>
      <c r="CR48" s="42">
        <f>IFERROR(IF($H48+$I48=CR$33,$A48,(IF((CR$33&lt;$H48+$I48),(IF(CR$33&gt;$H48,$A48,"")),""))),"")</f>
        <v/>
      </c>
      <c r="CS48" s="42">
        <f>IFERROR(IF($H48+$I48=CS$33,$A48,(IF((CS$33&lt;$H48+$I48),(IF(CS$33&gt;$H48,$A48,"")),""))),"")</f>
        <v/>
      </c>
      <c r="CT48" s="42">
        <f>IFERROR(IF($H48+$I48=CT$33,$A48,(IF((CT$33&lt;$H48+$I48),(IF(CT$33&gt;$H48,$A48,"")),""))),"")</f>
        <v/>
      </c>
      <c r="CU48" s="42">
        <f>IFERROR(IF($H48+$I48=CU$33,$A48,(IF((CU$33&lt;$H48+$I48),(IF(CU$33&gt;$H48,$A48,"")),""))),"")</f>
        <v/>
      </c>
      <c r="CV48" s="42">
        <f>IFERROR(IF($H48+$I48=CV$33,$A48,(IF((CV$33&lt;$H48+$I48),(IF(CV$33&gt;$H48,$A48,"")),""))),"")</f>
        <v/>
      </c>
      <c r="CW48" s="42">
        <f>IFERROR(IF($H48+$I48=CW$33,$A48,(IF((CW$33&lt;$H48+$I48),(IF(CW$33&gt;$H48,$A48,"")),""))),"")</f>
        <v/>
      </c>
      <c r="CX48" s="42">
        <f>IFERROR(IF($H48+$I48=CX$33,$A48,(IF((CX$33&lt;$H48+$I48),(IF(CX$33&gt;$H48,$A48,"")),""))),"")</f>
        <v/>
      </c>
      <c r="CY48" s="42">
        <f>IFERROR(IF($H48+$I48=CY$33,$A48,(IF((CY$33&lt;$H48+$I48),(IF(CY$33&gt;$H48,$A48,"")),""))),"")</f>
        <v/>
      </c>
      <c r="CZ48" s="42">
        <f>IFERROR(IF($H48+$I48=CZ$33,$A48,(IF((CZ$33&lt;$H48+$I48),(IF(CZ$33&gt;$H48,$A48,"")),""))),"")</f>
        <v/>
      </c>
      <c r="DA48" s="43">
        <f>IFERROR(IF($H48+$I48=DA$33,$A48,(IF((DA$33&lt;$H48+$I48),(IF(DA$33&gt;$H48,$A48,"")),""))),"")</f>
        <v/>
      </c>
    </row>
    <row r="49" ht="14.4" customHeight="1">
      <c r="A49" s="32" t="n">
        <v>3</v>
      </c>
      <c r="B49" s="536" t="n"/>
      <c r="C49" s="547" t="n"/>
      <c r="D49" s="273" t="inlineStr">
        <is>
          <t>Material Readiness</t>
        </is>
      </c>
      <c r="E49" s="30" t="n"/>
      <c r="F49" s="30" t="n"/>
      <c r="G49" s="227" t="n"/>
      <c r="H49" s="215" t="n"/>
      <c r="I49" s="256" t="n"/>
      <c r="J49" s="42">
        <f>IFERROR(IF($H49+$I49=J$33,$A49,(IF((J$33&lt;$H49+$I49),(IF(J$33&gt;$H49,$A49,"")),""))),"")</f>
        <v/>
      </c>
      <c r="K49" s="42">
        <f>IFERROR(IF($H49+$I49=K$33,$A49,(IF((K$33&lt;$H49+$I49),(IF(K$33&gt;$H49,$A49,"")),""))),"")</f>
        <v/>
      </c>
      <c r="L49" s="42">
        <f>IFERROR(IF($H49+$I49=L$33,$A49,(IF((L$33&lt;$H49+$I49),(IF(L$33&gt;$H49,$A49,"")),""))),"")</f>
        <v/>
      </c>
      <c r="M49" s="42">
        <f>IFERROR(IF($H49+$I49=M$33,$A49,(IF((M$33&lt;$H49+$I49),(IF(M$33&gt;$H49,$A49,"")),""))),"")</f>
        <v/>
      </c>
      <c r="N49" s="42">
        <f>IFERROR(IF($H49+$I49=N$33,$A49,(IF((N$33&lt;$H49+$I49),(IF(N$33&gt;$H49,$A49,"")),""))),"")</f>
        <v/>
      </c>
      <c r="O49" s="42">
        <f>IFERROR(IF($H49+$I49=O$33,$A49,(IF((O$33&lt;$H49+$I49),(IF(O$33&gt;$H49,$A49,"")),""))),"")</f>
        <v/>
      </c>
      <c r="P49" s="42">
        <f>IFERROR(IF($H49+$I49=P$33,$A49,(IF((P$33&lt;$H49+$I49),(IF(P$33&gt;$H49,$A49,"")),""))),"")</f>
        <v/>
      </c>
      <c r="Q49" s="42">
        <f>IFERROR(IF($H49+$I49=Q$33,$A49,(IF((Q$33&lt;$H49+$I49),(IF(Q$33&gt;$H49,$A49,"")),""))),"")</f>
        <v/>
      </c>
      <c r="R49" s="42">
        <f>IFERROR(IF($H49+$I49=R$33,$A49,(IF((R$33&lt;$H49+$I49),(IF(R$33&gt;$H49,$A49,"")),""))),"")</f>
        <v/>
      </c>
      <c r="S49" s="42">
        <f>IFERROR(IF($H49+$I49=S$33,$A49,(IF((S$33&lt;$H49+$I49),(IF(S$33&gt;$H49,$A49,"")),""))),"")</f>
        <v/>
      </c>
      <c r="T49" s="42">
        <f>IFERROR(IF($H49+$I49=T$33,$A49,(IF((T$33&lt;$H49+$I49),(IF(T$33&gt;$H49,$A49,"")),""))),"")</f>
        <v/>
      </c>
      <c r="U49" s="42">
        <f>IFERROR(IF($H49+$I49=U$33,$A49,(IF((U$33&lt;$H49+$I49),(IF(U$33&gt;$H49,$A49,"")),""))),"")</f>
        <v/>
      </c>
      <c r="V49" s="42">
        <f>IFERROR(IF($H49+$I49=V$33,$A49,(IF((V$33&lt;$H49+$I49),(IF(V$33&gt;$H49,$A49,"")),""))),"")</f>
        <v/>
      </c>
      <c r="W49" s="42">
        <f>IFERROR(IF($H49+$I49=W$33,$A49,(IF((W$33&lt;$H49+$I49),(IF(W$33&gt;$H49,$A49,"")),""))),"")</f>
        <v/>
      </c>
      <c r="X49" s="42">
        <f>IFERROR(IF($H49+$I49=X$33,$A49,(IF((X$33&lt;$H49+$I49),(IF(X$33&gt;$H49,$A49,"")),""))),"")</f>
        <v/>
      </c>
      <c r="Y49" s="42">
        <f>IFERROR(IF($H49+$I49=Y$33,$A49,(IF((Y$33&lt;$H49+$I49),(IF(Y$33&gt;$H49,$A49,"")),""))),"")</f>
        <v/>
      </c>
      <c r="Z49" s="42">
        <f>IFERROR(IF($H49+$I49=Z$33,$A49,(IF((Z$33&lt;$H49+$I49),(IF(Z$33&gt;$H49,$A49,"")),""))),"")</f>
        <v/>
      </c>
      <c r="AA49" s="42">
        <f>IFERROR(IF($H49+$I49=AA$33,$A49,(IF((AA$33&lt;$H49+$I49),(IF(AA$33&gt;$H49,$A49,"")),""))),"")</f>
        <v/>
      </c>
      <c r="AB49" s="42">
        <f>IFERROR(IF($H49+$I49=AB$33,$A49,(IF((AB$33&lt;$H49+$I49),(IF(AB$33&gt;$H49,$A49,"")),""))),"")</f>
        <v/>
      </c>
      <c r="AC49" s="42">
        <f>IFERROR(IF($H49+$I49=AC$33,$A49,(IF((AC$33&lt;$H49+$I49),(IF(AC$33&gt;$H49,$A49,"")),""))),"")</f>
        <v/>
      </c>
      <c r="AD49" s="42">
        <f>IFERROR(IF($H49+$I49=AD$33,$A49,(IF((AD$33&lt;$H49+$I49),(IF(AD$33&gt;$H49,$A49,"")),""))),"")</f>
        <v/>
      </c>
      <c r="AE49" s="42">
        <f>IFERROR(IF($H49+$I49=AE$33,$A49,(IF((AE$33&lt;$H49+$I49),(IF(AE$33&gt;$H49,$A49,"")),""))),"")</f>
        <v/>
      </c>
      <c r="AF49" s="42">
        <f>IFERROR(IF($H49+$I49=AF$33,$A49,(IF((AF$33&lt;$H49+$I49),(IF(AF$33&gt;$H49,$A49,"")),""))),"")</f>
        <v/>
      </c>
      <c r="AG49" s="42">
        <f>IFERROR(IF($H49+$I49=AG$33,$A49,(IF((AG$33&lt;$H49+$I49),(IF(AG$33&gt;$H49,$A49,"")),""))),"")</f>
        <v/>
      </c>
      <c r="AH49" s="42">
        <f>IFERROR(IF($H49+$I49=AH$33,$A49,(IF((AH$33&lt;$H49+$I49),(IF(AH$33&gt;$H49,$A49,"")),""))),"")</f>
        <v/>
      </c>
      <c r="AI49" s="42">
        <f>IFERROR(IF($H49+$I49=AI$33,$A49,(IF((AI$33&lt;$H49+$I49),(IF(AI$33&gt;$H49,$A49,"")),""))),"")</f>
        <v/>
      </c>
      <c r="AJ49" s="42">
        <f>IFERROR(IF($H49+$I49=AJ$33,$A49,(IF((AJ$33&lt;$H49+$I49),(IF(AJ$33&gt;$H49,$A49,"")),""))),"")</f>
        <v/>
      </c>
      <c r="AK49" s="42">
        <f>IFERROR(IF($H49+$I49=AK$33,$A49,(IF((AK$33&lt;$H49+$I49),(IF(AK$33&gt;$H49,$A49,"")),""))),"")</f>
        <v/>
      </c>
      <c r="AL49" s="42">
        <f>IFERROR(IF($H49+$I49=AL$33,$A49,(IF((AL$33&lt;$H49+$I49),(IF(AL$33&gt;$H49,$A49,"")),""))),"")</f>
        <v/>
      </c>
      <c r="AM49" s="42">
        <f>IFERROR(IF($H49+$I49=AM$33,$A49,(IF((AM$33&lt;$H49+$I49),(IF(AM$33&gt;$H49,$A49,"")),""))),"")</f>
        <v/>
      </c>
      <c r="AN49" s="42">
        <f>IFERROR(IF($H49+$I49=AN$33,$A49,(IF((AN$33&lt;$H49+$I49),(IF(AN$33&gt;$H49,$A49,"")),""))),"")</f>
        <v/>
      </c>
      <c r="AO49" s="42">
        <f>IFERROR(IF($H49+$I49=AO$33,$A49,(IF((AO$33&lt;$H49+$I49),(IF(AO$33&gt;$H49,$A49,"")),""))),"")</f>
        <v/>
      </c>
      <c r="AP49" s="42">
        <f>IFERROR(IF($H49+$I49=AP$33,$A49,(IF((AP$33&lt;$H49+$I49),(IF(AP$33&gt;$H49,$A49,"")),""))),"")</f>
        <v/>
      </c>
      <c r="AQ49" s="42">
        <f>IFERROR(IF($H49+$I49=AQ$33,$A49,(IF((AQ$33&lt;$H49+$I49),(IF(AQ$33&gt;$H49,$A49,"")),""))),"")</f>
        <v/>
      </c>
      <c r="AR49" s="42">
        <f>IFERROR(IF($H49+$I49=AR$33,$A49,(IF((AR$33&lt;$H49+$I49),(IF(AR$33&gt;$H49,$A49,"")),""))),"")</f>
        <v/>
      </c>
      <c r="AS49" s="42">
        <f>IFERROR(IF($H49+$I49=AS$33,$A49,(IF((AS$33&lt;$H49+$I49),(IF(AS$33&gt;$H49,$A49,"")),""))),"")</f>
        <v/>
      </c>
      <c r="AT49" s="42">
        <f>IFERROR(IF($H49+$I49=AT$33,$A49,(IF((AT$33&lt;$H49+$I49),(IF(AT$33&gt;$H49,$A49,"")),""))),"")</f>
        <v/>
      </c>
      <c r="AU49" s="42">
        <f>IFERROR(IF($H49+$I49=AU$33,$A49,(IF((AU$33&lt;$H49+$I49),(IF(AU$33&gt;$H49,$A49,"")),""))),"")</f>
        <v/>
      </c>
      <c r="AV49" s="42">
        <f>IFERROR(IF($H49+$I49=AV$33,$A49,(IF((AV$33&lt;$H49+$I49),(IF(AV$33&gt;$H49,$A49,"")),""))),"")</f>
        <v/>
      </c>
      <c r="AW49" s="42">
        <f>IFERROR(IF($H49+$I49=AW$33,$A49,(IF((AW$33&lt;$H49+$I49),(IF(AW$33&gt;$H49,$A49,"")),""))),"")</f>
        <v/>
      </c>
      <c r="AX49" s="42">
        <f>IFERROR(IF($H49+$I49=AX$33,$A49,(IF((AX$33&lt;$H49+$I49),(IF(AX$33&gt;$H49,$A49,"")),""))),"")</f>
        <v/>
      </c>
      <c r="AY49" s="42">
        <f>IFERROR(IF($H49+$I49=AY$33,$A49,(IF((AY$33&lt;$H49+$I49),(IF(AY$33&gt;$H49,$A49,"")),""))),"")</f>
        <v/>
      </c>
      <c r="AZ49" s="42">
        <f>IFERROR(IF($H49+$I49=AZ$33,$A49,(IF((AZ$33&lt;$H49+$I49),(IF(AZ$33&gt;$H49,$A49,"")),""))),"")</f>
        <v/>
      </c>
      <c r="BA49" s="42">
        <f>IFERROR(IF($H49+$I49=BA$33,$A49,(IF((BA$33&lt;$H49+$I49),(IF(BA$33&gt;$H49,$A49,"")),""))),"")</f>
        <v/>
      </c>
      <c r="BB49" s="42">
        <f>IFERROR(IF($H49+$I49=BB$33,$A49,(IF((BB$33&lt;$H49+$I49),(IF(BB$33&gt;$H49,$A49,"")),""))),"")</f>
        <v/>
      </c>
      <c r="BC49" s="42">
        <f>IFERROR(IF($H49+$I49=BC$33,$A49,(IF((BC$33&lt;$H49+$I49),(IF(BC$33&gt;$H49,$A49,"")),""))),"")</f>
        <v/>
      </c>
      <c r="BD49" s="42">
        <f>IFERROR(IF($H49+$I49=BD$33,$A49,(IF((BD$33&lt;$H49+$I49),(IF(BD$33&gt;$H49,$A49,"")),""))),"")</f>
        <v/>
      </c>
      <c r="BE49" s="154">
        <f>IFERROR(IF($H49+$I49=BE$33,$A49,(IF((BE$33&lt;$H49+$I49),(IF(BE$33&gt;$H49,$A49,"")),""))),"")</f>
        <v/>
      </c>
      <c r="BF49" s="42">
        <f>IFERROR(IF($H49+$I49=BF$33,$A49,(IF((BF$33&lt;$H49+$I49),(IF(BF$33&gt;$H49,$A49,"")),""))),"")</f>
        <v/>
      </c>
      <c r="BG49" s="42">
        <f>IFERROR(IF($H49+$I49=BG$33,$A49,(IF((BG$33&lt;$H49+$I49),(IF(BG$33&gt;$H49,$A49,"")),""))),"")</f>
        <v/>
      </c>
      <c r="BH49" s="42">
        <f>IFERROR(IF($H49+$I49=BH$33,$A49,(IF((BH$33&lt;$H49+$I49),(IF(BH$33&gt;$H49,$A49,"")),""))),"")</f>
        <v/>
      </c>
      <c r="BI49" s="42">
        <f>IFERROR(IF($H49+$I49=BI$33,$A49,(IF((BI$33&lt;$H49+$I49),(IF(BI$33&gt;$H49,$A49,"")),""))),"")</f>
        <v/>
      </c>
      <c r="BJ49" s="42">
        <f>IFERROR(IF($H49+$I49=BJ$33,$A49,(IF((BJ$33&lt;$H49+$I49),(IF(BJ$33&gt;$H49,$A49,"")),""))),"")</f>
        <v/>
      </c>
      <c r="BK49" s="42">
        <f>IFERROR(IF($H49+$I49=BK$33,$A49,(IF((BK$33&lt;$H49+$I49),(IF(BK$33&gt;$H49,$A49,"")),""))),"")</f>
        <v/>
      </c>
      <c r="BL49" s="42">
        <f>IFERROR(IF($H49+$I49=BL$33,$A49,(IF((BL$33&lt;$H49+$I49),(IF(BL$33&gt;$H49,$A49,"")),""))),"")</f>
        <v/>
      </c>
      <c r="BM49" s="42">
        <f>IFERROR(IF($H49+$I49=BM$33,$A49,(IF((BM$33&lt;$H49+$I49),(IF(BM$33&gt;$H49,$A49,"")),""))),"")</f>
        <v/>
      </c>
      <c r="BN49" s="42">
        <f>IFERROR(IF($H49+$I49=BN$33,$A49,(IF((BN$33&lt;$H49+$I49),(IF(BN$33&gt;$H49,$A49,"")),""))),"")</f>
        <v/>
      </c>
      <c r="BO49" s="42">
        <f>IFERROR(IF($H49+$I49=BO$33,$A49,(IF((BO$33&lt;$H49+$I49),(IF(BO$33&gt;$H49,$A49,"")),""))),"")</f>
        <v/>
      </c>
      <c r="BP49" s="42">
        <f>IFERROR(IF($H49+$I49=BP$33,$A49,(IF((BP$33&lt;$H49+$I49),(IF(BP$33&gt;$H49,$A49,"")),""))),"")</f>
        <v/>
      </c>
      <c r="BQ49" s="42">
        <f>IFERROR(IF($H49+$I49=BQ$33,$A49,(IF((BQ$33&lt;$H49+$I49),(IF(BQ$33&gt;$H49,$A49,"")),""))),"")</f>
        <v/>
      </c>
      <c r="BR49" s="42">
        <f>IFERROR(IF($H49+$I49=BR$33,$A49,(IF((BR$33&lt;$H49+$I49),(IF(BR$33&gt;$H49,$A49,"")),""))),"")</f>
        <v/>
      </c>
      <c r="BS49" s="42">
        <f>IFERROR(IF($H49+$I49=BS$33,$A49,(IF((BS$33&lt;$H49+$I49),(IF(BS$33&gt;$H49,$A49,"")),""))),"")</f>
        <v/>
      </c>
      <c r="BT49" s="42">
        <f>IFERROR(IF($H49+$I49=BT$33,$A49,(IF((BT$33&lt;$H49+$I49),(IF(BT$33&gt;$H49,$A49,"")),""))),"")</f>
        <v/>
      </c>
      <c r="BU49" s="42">
        <f>IFERROR(IF($H49+$I49=BU$33,$A49,(IF((BU$33&lt;$H49+$I49),(IF(BU$33&gt;$H49,$A49,"")),""))),"")</f>
        <v/>
      </c>
      <c r="BV49" s="42">
        <f>IFERROR(IF($H49+$I49=BV$33,$A49,(IF((BV$33&lt;$H49+$I49),(IF(BV$33&gt;$H49,$A49,"")),""))),"")</f>
        <v/>
      </c>
      <c r="BW49" s="42">
        <f>IFERROR(IF($H49+$I49=BW$33,$A49,(IF((BW$33&lt;$H49+$I49),(IF(BW$33&gt;$H49,$A49,"")),""))),"")</f>
        <v/>
      </c>
      <c r="BX49" s="42">
        <f>IFERROR(IF($H49+$I49=BX$33,$A49,(IF((BX$33&lt;$H49+$I49),(IF(BX$33&gt;$H49,$A49,"")),""))),"")</f>
        <v/>
      </c>
      <c r="BY49" s="42">
        <f>IFERROR(IF($H49+$I49=BY$33,$A49,(IF((BY$33&lt;$H49+$I49),(IF(BY$33&gt;$H49,$A49,"")),""))),"")</f>
        <v/>
      </c>
      <c r="BZ49" s="42">
        <f>IFERROR(IF($H49+$I49=BZ$33,$A49,(IF((BZ$33&lt;$H49+$I49),(IF(BZ$33&gt;$H49,$A49,"")),""))),"")</f>
        <v/>
      </c>
      <c r="CA49" s="42">
        <f>IFERROR(IF($H49+$I49=CA$33,$A49,(IF((CA$33&lt;$H49+$I49),(IF(CA$33&gt;$H49,$A49,"")),""))),"")</f>
        <v/>
      </c>
      <c r="CB49" s="42">
        <f>IFERROR(IF($H49+$I49=CB$33,$A49,(IF((CB$33&lt;$H49+$I49),(IF(CB$33&gt;$H49,$A49,"")),""))),"")</f>
        <v/>
      </c>
      <c r="CC49" s="42">
        <f>IFERROR(IF($H49+$I49=CC$33,$A49,(IF((CC$33&lt;$H49+$I49),(IF(CC$33&gt;$H49,$A49,"")),""))),"")</f>
        <v/>
      </c>
      <c r="CD49" s="42">
        <f>IFERROR(IF($H49+$I49=CD$33,$A49,(IF((CD$33&lt;$H49+$I49),(IF(CD$33&gt;$H49,$A49,"")),""))),"")</f>
        <v/>
      </c>
      <c r="CE49" s="42">
        <f>IFERROR(IF($H49+$I49=CE$33,$A49,(IF((CE$33&lt;$H49+$I49),(IF(CE$33&gt;$H49,$A49,"")),""))),"")</f>
        <v/>
      </c>
      <c r="CF49" s="42">
        <f>IFERROR(IF($H49+$I49=CF$33,$A49,(IF((CF$33&lt;$H49+$I49),(IF(CF$33&gt;$H49,$A49,"")),""))),"")</f>
        <v/>
      </c>
      <c r="CG49" s="42">
        <f>IFERROR(IF($H49+$I49=CG$33,$A49,(IF((CG$33&lt;$H49+$I49),(IF(CG$33&gt;$H49,$A49,"")),""))),"")</f>
        <v/>
      </c>
      <c r="CH49" s="42">
        <f>IFERROR(IF($H49+$I49=CH$33,$A49,(IF((CH$33&lt;$H49+$I49),(IF(CH$33&gt;$H49,$A49,"")),""))),"")</f>
        <v/>
      </c>
      <c r="CI49" s="42">
        <f>IFERROR(IF($H49+$I49=CI$33,$A49,(IF((CI$33&lt;$H49+$I49),(IF(CI$33&gt;$H49,$A49,"")),""))),"")</f>
        <v/>
      </c>
      <c r="CJ49" s="42">
        <f>IFERROR(IF($H49+$I49=CJ$33,$A49,(IF((CJ$33&lt;$H49+$I49),(IF(CJ$33&gt;$H49,$A49,"")),""))),"")</f>
        <v/>
      </c>
      <c r="CK49" s="42">
        <f>IFERROR(IF($H49+$I49=CK$33,$A49,(IF((CK$33&lt;$H49+$I49),(IF(CK$33&gt;$H49,$A49,"")),""))),"")</f>
        <v/>
      </c>
      <c r="CL49" s="42">
        <f>IFERROR(IF($H49+$I49=CL$33,$A49,(IF((CL$33&lt;$H49+$I49),(IF(CL$33&gt;$H49,$A49,"")),""))),"")</f>
        <v/>
      </c>
      <c r="CM49" s="42">
        <f>IFERROR(IF($H49+$I49=CM$33,$A49,(IF((CM$33&lt;$H49+$I49),(IF(CM$33&gt;$H49,$A49,"")),""))),"")</f>
        <v/>
      </c>
      <c r="CN49" s="42">
        <f>IFERROR(IF($H49+$I49=CN$33,$A49,(IF((CN$33&lt;$H49+$I49),(IF(CN$33&gt;$H49,$A49,"")),""))),"")</f>
        <v/>
      </c>
      <c r="CO49" s="42">
        <f>IFERROR(IF($H49+$I49=CO$33,$A49,(IF((CO$33&lt;$H49+$I49),(IF(CO$33&gt;$H49,$A49,"")),""))),"")</f>
        <v/>
      </c>
      <c r="CP49" s="42">
        <f>IFERROR(IF($H49+$I49=CP$33,$A49,(IF((CP$33&lt;$H49+$I49),(IF(CP$33&gt;$H49,$A49,"")),""))),"")</f>
        <v/>
      </c>
      <c r="CQ49" s="42">
        <f>IFERROR(IF($H49+$I49=CQ$33,$A49,(IF((CQ$33&lt;$H49+$I49),(IF(CQ$33&gt;$H49,$A49,"")),""))),"")</f>
        <v/>
      </c>
      <c r="CR49" s="42">
        <f>IFERROR(IF($H49+$I49=CR$33,$A49,(IF((CR$33&lt;$H49+$I49),(IF(CR$33&gt;$H49,$A49,"")),""))),"")</f>
        <v/>
      </c>
      <c r="CS49" s="42">
        <f>IFERROR(IF($H49+$I49=CS$33,$A49,(IF((CS$33&lt;$H49+$I49),(IF(CS$33&gt;$H49,$A49,"")),""))),"")</f>
        <v/>
      </c>
      <c r="CT49" s="42">
        <f>IFERROR(IF($H49+$I49=CT$33,$A49,(IF((CT$33&lt;$H49+$I49),(IF(CT$33&gt;$H49,$A49,"")),""))),"")</f>
        <v/>
      </c>
      <c r="CU49" s="42">
        <f>IFERROR(IF($H49+$I49=CU$33,$A49,(IF((CU$33&lt;$H49+$I49),(IF(CU$33&gt;$H49,$A49,"")),""))),"")</f>
        <v/>
      </c>
      <c r="CV49" s="42">
        <f>IFERROR(IF($H49+$I49=CV$33,$A49,(IF((CV$33&lt;$H49+$I49),(IF(CV$33&gt;$H49,$A49,"")),""))),"")</f>
        <v/>
      </c>
      <c r="CW49" s="42">
        <f>IFERROR(IF($H49+$I49=CW$33,$A49,(IF((CW$33&lt;$H49+$I49),(IF(CW$33&gt;$H49,$A49,"")),""))),"")</f>
        <v/>
      </c>
      <c r="CX49" s="42">
        <f>IFERROR(IF($H49+$I49=CX$33,$A49,(IF((CX$33&lt;$H49+$I49),(IF(CX$33&gt;$H49,$A49,"")),""))),"")</f>
        <v/>
      </c>
      <c r="CY49" s="42">
        <f>IFERROR(IF($H49+$I49=CY$33,$A49,(IF((CY$33&lt;$H49+$I49),(IF(CY$33&gt;$H49,$A49,"")),""))),"")</f>
        <v/>
      </c>
      <c r="CZ49" s="42">
        <f>IFERROR(IF($H49+$I49=CZ$33,$A49,(IF((CZ$33&lt;$H49+$I49),(IF(CZ$33&gt;$H49,$A49,"")),""))),"")</f>
        <v/>
      </c>
      <c r="DA49" s="43">
        <f>IFERROR(IF($H49+$I49=DA$33,$A49,(IF((DA$33&lt;$H49+$I49),(IF(DA$33&gt;$H49,$A49,"")),""))),"")</f>
        <v/>
      </c>
    </row>
    <row r="50" ht="15" customHeight="1" thickBot="1">
      <c r="A50" s="32" t="n">
        <v>4</v>
      </c>
      <c r="B50" s="536" t="n"/>
      <c r="C50" s="548" t="n"/>
      <c r="D50" s="330" t="inlineStr">
        <is>
          <t>Commissioning</t>
        </is>
      </c>
      <c r="E50" s="545" t="n"/>
      <c r="F50" s="545" t="n"/>
      <c r="G50" s="228" t="n"/>
      <c r="H50" s="216" t="n"/>
      <c r="I50" s="257" t="n"/>
      <c r="J50" s="44">
        <f>IFERROR(IF($H50+$I50=J$33,$A50,(IF((J$33&lt;$H50+$I50),(IF(J$33&gt;$H50,$A50,"")),""))),"")</f>
        <v/>
      </c>
      <c r="K50" s="44">
        <f>IFERROR(IF($H50+$I50=K$33,$A50,(IF((K$33&lt;$H50+$I50),(IF(K$33&gt;$H50,$A50,"")),""))),"")</f>
        <v/>
      </c>
      <c r="L50" s="44">
        <f>IFERROR(IF($H50+$I50=L$33,$A50,(IF((L$33&lt;$H50+$I50),(IF(L$33&gt;$H50,$A50,"")),""))),"")</f>
        <v/>
      </c>
      <c r="M50" s="44">
        <f>IFERROR(IF($H50+$I50=M$33,$A50,(IF((M$33&lt;$H50+$I50),(IF(M$33&gt;$H50,$A50,"")),""))),"")</f>
        <v/>
      </c>
      <c r="N50" s="44">
        <f>IFERROR(IF($H50+$I50=N$33,$A50,(IF((N$33&lt;$H50+$I50),(IF(N$33&gt;$H50,$A50,"")),""))),"")</f>
        <v/>
      </c>
      <c r="O50" s="44">
        <f>IFERROR(IF($H50+$I50=O$33,$A50,(IF((O$33&lt;$H50+$I50),(IF(O$33&gt;$H50,$A50,"")),""))),"")</f>
        <v/>
      </c>
      <c r="P50" s="44">
        <f>IFERROR(IF($H50+$I50=P$33,$A50,(IF((P$33&lt;$H50+$I50),(IF(P$33&gt;$H50,$A50,"")),""))),"")</f>
        <v/>
      </c>
      <c r="Q50" s="44">
        <f>IFERROR(IF($H50+$I50=Q$33,$A50,(IF((Q$33&lt;$H50+$I50),(IF(Q$33&gt;$H50,$A50,"")),""))),"")</f>
        <v/>
      </c>
      <c r="R50" s="44">
        <f>IFERROR(IF($H50+$I50=R$33,$A50,(IF((R$33&lt;$H50+$I50),(IF(R$33&gt;$H50,$A50,"")),""))),"")</f>
        <v/>
      </c>
      <c r="S50" s="44">
        <f>IFERROR(IF($H50+$I50=S$33,$A50,(IF((S$33&lt;$H50+$I50),(IF(S$33&gt;$H50,$A50,"")),""))),"")</f>
        <v/>
      </c>
      <c r="T50" s="44">
        <f>IFERROR(IF($H50+$I50=T$33,$A50,(IF((T$33&lt;$H50+$I50),(IF(T$33&gt;$H50,$A50,"")),""))),"")</f>
        <v/>
      </c>
      <c r="U50" s="44">
        <f>IFERROR(IF($H50+$I50=U$33,$A50,(IF((U$33&lt;$H50+$I50),(IF(U$33&gt;$H50,$A50,"")),""))),"")</f>
        <v/>
      </c>
      <c r="V50" s="44">
        <f>IFERROR(IF($H50+$I50=V$33,$A50,(IF((V$33&lt;$H50+$I50),(IF(V$33&gt;$H50,$A50,"")),""))),"")</f>
        <v/>
      </c>
      <c r="W50" s="44">
        <f>IFERROR(IF($H50+$I50=W$33,$A50,(IF((W$33&lt;$H50+$I50),(IF(W$33&gt;$H50,$A50,"")),""))),"")</f>
        <v/>
      </c>
      <c r="X50" s="44">
        <f>IFERROR(IF($H50+$I50=X$33,$A50,(IF((X$33&lt;$H50+$I50),(IF(X$33&gt;$H50,$A50,"")),""))),"")</f>
        <v/>
      </c>
      <c r="Y50" s="44">
        <f>IFERROR(IF($H50+$I50=Y$33,$A50,(IF((Y$33&lt;$H50+$I50),(IF(Y$33&gt;$H50,$A50,"")),""))),"")</f>
        <v/>
      </c>
      <c r="Z50" s="44">
        <f>IFERROR(IF($H50+$I50=Z$33,$A50,(IF((Z$33&lt;$H50+$I50),(IF(Z$33&gt;$H50,$A50,"")),""))),"")</f>
        <v/>
      </c>
      <c r="AA50" s="44">
        <f>IFERROR(IF($H50+$I50=AA$33,$A50,(IF((AA$33&lt;$H50+$I50),(IF(AA$33&gt;$H50,$A50,"")),""))),"")</f>
        <v/>
      </c>
      <c r="AB50" s="44">
        <f>IFERROR(IF($H50+$I50=AB$33,$A50,(IF((AB$33&lt;$H50+$I50),(IF(AB$33&gt;$H50,$A50,"")),""))),"")</f>
        <v/>
      </c>
      <c r="AC50" s="44">
        <f>IFERROR(IF($H50+$I50=AC$33,$A50,(IF((AC$33&lt;$H50+$I50),(IF(AC$33&gt;$H50,$A50,"")),""))),"")</f>
        <v/>
      </c>
      <c r="AD50" s="44">
        <f>IFERROR(IF($H50+$I50=AD$33,$A50,(IF((AD$33&lt;$H50+$I50),(IF(AD$33&gt;$H50,$A50,"")),""))),"")</f>
        <v/>
      </c>
      <c r="AE50" s="44">
        <f>IFERROR(IF($H50+$I50=AE$33,$A50,(IF((AE$33&lt;$H50+$I50),(IF(AE$33&gt;$H50,$A50,"")),""))),"")</f>
        <v/>
      </c>
      <c r="AF50" s="44">
        <f>IFERROR(IF($H50+$I50=AF$33,$A50,(IF((AF$33&lt;$H50+$I50),(IF(AF$33&gt;$H50,$A50,"")),""))),"")</f>
        <v/>
      </c>
      <c r="AG50" s="44">
        <f>IFERROR(IF($H50+$I50=AG$33,$A50,(IF((AG$33&lt;$H50+$I50),(IF(AG$33&gt;$H50,$A50,"")),""))),"")</f>
        <v/>
      </c>
      <c r="AH50" s="44">
        <f>IFERROR(IF($H50+$I50=AH$33,$A50,(IF((AH$33&lt;$H50+$I50),(IF(AH$33&gt;$H50,$A50,"")),""))),"")</f>
        <v/>
      </c>
      <c r="AI50" s="44">
        <f>IFERROR(IF($H50+$I50=AI$33,$A50,(IF((AI$33&lt;$H50+$I50),(IF(AI$33&gt;$H50,$A50,"")),""))),"")</f>
        <v/>
      </c>
      <c r="AJ50" s="44">
        <f>IFERROR(IF($H50+$I50=AJ$33,$A50,(IF((AJ$33&lt;$H50+$I50),(IF(AJ$33&gt;$H50,$A50,"")),""))),"")</f>
        <v/>
      </c>
      <c r="AK50" s="44">
        <f>IFERROR(IF($H50+$I50=AK$33,$A50,(IF((AK$33&lt;$H50+$I50),(IF(AK$33&gt;$H50,$A50,"")),""))),"")</f>
        <v/>
      </c>
      <c r="AL50" s="44">
        <f>IFERROR(IF($H50+$I50=AL$33,$A50,(IF((AL$33&lt;$H50+$I50),(IF(AL$33&gt;$H50,$A50,"")),""))),"")</f>
        <v/>
      </c>
      <c r="AM50" s="44">
        <f>IFERROR(IF($H50+$I50=AM$33,$A50,(IF((AM$33&lt;$H50+$I50),(IF(AM$33&gt;$H50,$A50,"")),""))),"")</f>
        <v/>
      </c>
      <c r="AN50" s="44">
        <f>IFERROR(IF($H50+$I50=AN$33,$A50,(IF((AN$33&lt;$H50+$I50),(IF(AN$33&gt;$H50,$A50,"")),""))),"")</f>
        <v/>
      </c>
      <c r="AO50" s="44">
        <f>IFERROR(IF($H50+$I50=AO$33,$A50,(IF((AO$33&lt;$H50+$I50),(IF(AO$33&gt;$H50,$A50,"")),""))),"")</f>
        <v/>
      </c>
      <c r="AP50" s="44">
        <f>IFERROR(IF($H50+$I50=AP$33,$A50,(IF((AP$33&lt;$H50+$I50),(IF(AP$33&gt;$H50,$A50,"")),""))),"")</f>
        <v/>
      </c>
      <c r="AQ50" s="44">
        <f>IFERROR(IF($H50+$I50=AQ$33,$A50,(IF((AQ$33&lt;$H50+$I50),(IF(AQ$33&gt;$H50,$A50,"")),""))),"")</f>
        <v/>
      </c>
      <c r="AR50" s="44">
        <f>IFERROR(IF($H50+$I50=AR$33,$A50,(IF((AR$33&lt;$H50+$I50),(IF(AR$33&gt;$H50,$A50,"")),""))),"")</f>
        <v/>
      </c>
      <c r="AS50" s="44">
        <f>IFERROR(IF($H50+$I50=AS$33,$A50,(IF((AS$33&lt;$H50+$I50),(IF(AS$33&gt;$H50,$A50,"")),""))),"")</f>
        <v/>
      </c>
      <c r="AT50" s="44">
        <f>IFERROR(IF($H50+$I50=AT$33,$A50,(IF((AT$33&lt;$H50+$I50),(IF(AT$33&gt;$H50,$A50,"")),""))),"")</f>
        <v/>
      </c>
      <c r="AU50" s="44">
        <f>IFERROR(IF($H50+$I50=AU$33,$A50,(IF((AU$33&lt;$H50+$I50),(IF(AU$33&gt;$H50,$A50,"")),""))),"")</f>
        <v/>
      </c>
      <c r="AV50" s="44">
        <f>IFERROR(IF($H50+$I50=AV$33,$A50,(IF((AV$33&lt;$H50+$I50),(IF(AV$33&gt;$H50,$A50,"")),""))),"")</f>
        <v/>
      </c>
      <c r="AW50" s="44">
        <f>IFERROR(IF($H50+$I50=AW$33,$A50,(IF((AW$33&lt;$H50+$I50),(IF(AW$33&gt;$H50,$A50,"")),""))),"")</f>
        <v/>
      </c>
      <c r="AX50" s="44">
        <f>IFERROR(IF($H50+$I50=AX$33,$A50,(IF((AX$33&lt;$H50+$I50),(IF(AX$33&gt;$H50,$A50,"")),""))),"")</f>
        <v/>
      </c>
      <c r="AY50" s="44">
        <f>IFERROR(IF($H50+$I50=AY$33,$A50,(IF((AY$33&lt;$H50+$I50),(IF(AY$33&gt;$H50,$A50,"")),""))),"")</f>
        <v/>
      </c>
      <c r="AZ50" s="44">
        <f>IFERROR(IF($H50+$I50=AZ$33,$A50,(IF((AZ$33&lt;$H50+$I50),(IF(AZ$33&gt;$H50,$A50,"")),""))),"")</f>
        <v/>
      </c>
      <c r="BA50" s="44">
        <f>IFERROR(IF($H50+$I50=BA$33,$A50,(IF((BA$33&lt;$H50+$I50),(IF(BA$33&gt;$H50,$A50,"")),""))),"")</f>
        <v/>
      </c>
      <c r="BB50" s="44">
        <f>IFERROR(IF($H50+$I50=BB$33,$A50,(IF((BB$33&lt;$H50+$I50),(IF(BB$33&gt;$H50,$A50,"")),""))),"")</f>
        <v/>
      </c>
      <c r="BC50" s="44">
        <f>IFERROR(IF($H50+$I50=BC$33,$A50,(IF((BC$33&lt;$H50+$I50),(IF(BC$33&gt;$H50,$A50,"")),""))),"")</f>
        <v/>
      </c>
      <c r="BD50" s="44">
        <f>IFERROR(IF($H50+$I50=BD$33,$A50,(IF((BD$33&lt;$H50+$I50),(IF(BD$33&gt;$H50,$A50,"")),""))),"")</f>
        <v/>
      </c>
      <c r="BE50" s="155">
        <f>IFERROR(IF($H50+$I50=BE$33,$A50,(IF((BE$33&lt;$H50+$I50),(IF(BE$33&gt;$H50,$A50,"")),""))),"")</f>
        <v/>
      </c>
      <c r="BF50" s="44">
        <f>IFERROR(IF($H50+$I50=BF$33,$A50,(IF((BF$33&lt;$H50+$I50),(IF(BF$33&gt;$H50,$A50,"")),""))),"")</f>
        <v/>
      </c>
      <c r="BG50" s="44">
        <f>IFERROR(IF($H50+$I50=BG$33,$A50,(IF((BG$33&lt;$H50+$I50),(IF(BG$33&gt;$H50,$A50,"")),""))),"")</f>
        <v/>
      </c>
      <c r="BH50" s="44">
        <f>IFERROR(IF($H50+$I50=BH$33,$A50,(IF((BH$33&lt;$H50+$I50),(IF(BH$33&gt;$H50,$A50,"")),""))),"")</f>
        <v/>
      </c>
      <c r="BI50" s="44">
        <f>IFERROR(IF($H50+$I50=BI$33,$A50,(IF((BI$33&lt;$H50+$I50),(IF(BI$33&gt;$H50,$A50,"")),""))),"")</f>
        <v/>
      </c>
      <c r="BJ50" s="44">
        <f>IFERROR(IF($H50+$I50=BJ$33,$A50,(IF((BJ$33&lt;$H50+$I50),(IF(BJ$33&gt;$H50,$A50,"")),""))),"")</f>
        <v/>
      </c>
      <c r="BK50" s="44">
        <f>IFERROR(IF($H50+$I50=BK$33,$A50,(IF((BK$33&lt;$H50+$I50),(IF(BK$33&gt;$H50,$A50,"")),""))),"")</f>
        <v/>
      </c>
      <c r="BL50" s="44">
        <f>IFERROR(IF($H50+$I50=BL$33,$A50,(IF((BL$33&lt;$H50+$I50),(IF(BL$33&gt;$H50,$A50,"")),""))),"")</f>
        <v/>
      </c>
      <c r="BM50" s="44">
        <f>IFERROR(IF($H50+$I50=BM$33,$A50,(IF((BM$33&lt;$H50+$I50),(IF(BM$33&gt;$H50,$A50,"")),""))),"")</f>
        <v/>
      </c>
      <c r="BN50" s="44">
        <f>IFERROR(IF($H50+$I50=BN$33,$A50,(IF((BN$33&lt;$H50+$I50),(IF(BN$33&gt;$H50,$A50,"")),""))),"")</f>
        <v/>
      </c>
      <c r="BO50" s="44">
        <f>IFERROR(IF($H50+$I50=BO$33,$A50,(IF((BO$33&lt;$H50+$I50),(IF(BO$33&gt;$H50,$A50,"")),""))),"")</f>
        <v/>
      </c>
      <c r="BP50" s="44">
        <f>IFERROR(IF($H50+$I50=BP$33,$A50,(IF((BP$33&lt;$H50+$I50),(IF(BP$33&gt;$H50,$A50,"")),""))),"")</f>
        <v/>
      </c>
      <c r="BQ50" s="44">
        <f>IFERROR(IF($H50+$I50=BQ$33,$A50,(IF((BQ$33&lt;$H50+$I50),(IF(BQ$33&gt;$H50,$A50,"")),""))),"")</f>
        <v/>
      </c>
      <c r="BR50" s="44">
        <f>IFERROR(IF($H50+$I50=BR$33,$A50,(IF((BR$33&lt;$H50+$I50),(IF(BR$33&gt;$H50,$A50,"")),""))),"")</f>
        <v/>
      </c>
      <c r="BS50" s="44">
        <f>IFERROR(IF($H50+$I50=BS$33,$A50,(IF((BS$33&lt;$H50+$I50),(IF(BS$33&gt;$H50,$A50,"")),""))),"")</f>
        <v/>
      </c>
      <c r="BT50" s="44">
        <f>IFERROR(IF($H50+$I50=BT$33,$A50,(IF((BT$33&lt;$H50+$I50),(IF(BT$33&gt;$H50,$A50,"")),""))),"")</f>
        <v/>
      </c>
      <c r="BU50" s="44">
        <f>IFERROR(IF($H50+$I50=BU$33,$A50,(IF((BU$33&lt;$H50+$I50),(IF(BU$33&gt;$H50,$A50,"")),""))),"")</f>
        <v/>
      </c>
      <c r="BV50" s="44">
        <f>IFERROR(IF($H50+$I50=BV$33,$A50,(IF((BV$33&lt;$H50+$I50),(IF(BV$33&gt;$H50,$A50,"")),""))),"")</f>
        <v/>
      </c>
      <c r="BW50" s="44">
        <f>IFERROR(IF($H50+$I50=BW$33,$A50,(IF((BW$33&lt;$H50+$I50),(IF(BW$33&gt;$H50,$A50,"")),""))),"")</f>
        <v/>
      </c>
      <c r="BX50" s="44">
        <f>IFERROR(IF($H50+$I50=BX$33,$A50,(IF((BX$33&lt;$H50+$I50),(IF(BX$33&gt;$H50,$A50,"")),""))),"")</f>
        <v/>
      </c>
      <c r="BY50" s="44">
        <f>IFERROR(IF($H50+$I50=BY$33,$A50,(IF((BY$33&lt;$H50+$I50),(IF(BY$33&gt;$H50,$A50,"")),""))),"")</f>
        <v/>
      </c>
      <c r="BZ50" s="44">
        <f>IFERROR(IF($H50+$I50=BZ$33,$A50,(IF((BZ$33&lt;$H50+$I50),(IF(BZ$33&gt;$H50,$A50,"")),""))),"")</f>
        <v/>
      </c>
      <c r="CA50" s="44">
        <f>IFERROR(IF($H50+$I50=CA$33,$A50,(IF((CA$33&lt;$H50+$I50),(IF(CA$33&gt;$H50,$A50,"")),""))),"")</f>
        <v/>
      </c>
      <c r="CB50" s="44">
        <f>IFERROR(IF($H50+$I50=CB$33,$A50,(IF((CB$33&lt;$H50+$I50),(IF(CB$33&gt;$H50,$A50,"")),""))),"")</f>
        <v/>
      </c>
      <c r="CC50" s="44">
        <f>IFERROR(IF($H50+$I50=CC$33,$A50,(IF((CC$33&lt;$H50+$I50),(IF(CC$33&gt;$H50,$A50,"")),""))),"")</f>
        <v/>
      </c>
      <c r="CD50" s="44">
        <f>IFERROR(IF($H50+$I50=CD$33,$A50,(IF((CD$33&lt;$H50+$I50),(IF(CD$33&gt;$H50,$A50,"")),""))),"")</f>
        <v/>
      </c>
      <c r="CE50" s="44">
        <f>IFERROR(IF($H50+$I50=CE$33,$A50,(IF((CE$33&lt;$H50+$I50),(IF(CE$33&gt;$H50,$A50,"")),""))),"")</f>
        <v/>
      </c>
      <c r="CF50" s="44">
        <f>IFERROR(IF($H50+$I50=CF$33,$A50,(IF((CF$33&lt;$H50+$I50),(IF(CF$33&gt;$H50,$A50,"")),""))),"")</f>
        <v/>
      </c>
      <c r="CG50" s="44">
        <f>IFERROR(IF($H50+$I50=CG$33,$A50,(IF((CG$33&lt;$H50+$I50),(IF(CG$33&gt;$H50,$A50,"")),""))),"")</f>
        <v/>
      </c>
      <c r="CH50" s="44">
        <f>IFERROR(IF($H50+$I50=CH$33,$A50,(IF((CH$33&lt;$H50+$I50),(IF(CH$33&gt;$H50,$A50,"")),""))),"")</f>
        <v/>
      </c>
      <c r="CI50" s="44">
        <f>IFERROR(IF($H50+$I50=CI$33,$A50,(IF((CI$33&lt;$H50+$I50),(IF(CI$33&gt;$H50,$A50,"")),""))),"")</f>
        <v/>
      </c>
      <c r="CJ50" s="44">
        <f>IFERROR(IF($H50+$I50=CJ$33,$A50,(IF((CJ$33&lt;$H50+$I50),(IF(CJ$33&gt;$H50,$A50,"")),""))),"")</f>
        <v/>
      </c>
      <c r="CK50" s="44">
        <f>IFERROR(IF($H50+$I50=CK$33,$A50,(IF((CK$33&lt;$H50+$I50),(IF(CK$33&gt;$H50,$A50,"")),""))),"")</f>
        <v/>
      </c>
      <c r="CL50" s="44">
        <f>IFERROR(IF($H50+$I50=CL$33,$A50,(IF((CL$33&lt;$H50+$I50),(IF(CL$33&gt;$H50,$A50,"")),""))),"")</f>
        <v/>
      </c>
      <c r="CM50" s="44">
        <f>IFERROR(IF($H50+$I50=CM$33,$A50,(IF((CM$33&lt;$H50+$I50),(IF(CM$33&gt;$H50,$A50,"")),""))),"")</f>
        <v/>
      </c>
      <c r="CN50" s="44">
        <f>IFERROR(IF($H50+$I50=CN$33,$A50,(IF((CN$33&lt;$H50+$I50),(IF(CN$33&gt;$H50,$A50,"")),""))),"")</f>
        <v/>
      </c>
      <c r="CO50" s="44">
        <f>IFERROR(IF($H50+$I50=CO$33,$A50,(IF((CO$33&lt;$H50+$I50),(IF(CO$33&gt;$H50,$A50,"")),""))),"")</f>
        <v/>
      </c>
      <c r="CP50" s="44">
        <f>IFERROR(IF($H50+$I50=CP$33,$A50,(IF((CP$33&lt;$H50+$I50),(IF(CP$33&gt;$H50,$A50,"")),""))),"")</f>
        <v/>
      </c>
      <c r="CQ50" s="44">
        <f>IFERROR(IF($H50+$I50=CQ$33,$A50,(IF((CQ$33&lt;$H50+$I50),(IF(CQ$33&gt;$H50,$A50,"")),""))),"")</f>
        <v/>
      </c>
      <c r="CR50" s="44">
        <f>IFERROR(IF($H50+$I50=CR$33,$A50,(IF((CR$33&lt;$H50+$I50),(IF(CR$33&gt;$H50,$A50,"")),""))),"")</f>
        <v/>
      </c>
      <c r="CS50" s="44">
        <f>IFERROR(IF($H50+$I50=CS$33,$A50,(IF((CS$33&lt;$H50+$I50),(IF(CS$33&gt;$H50,$A50,"")),""))),"")</f>
        <v/>
      </c>
      <c r="CT50" s="44">
        <f>IFERROR(IF($H50+$I50=CT$33,$A50,(IF((CT$33&lt;$H50+$I50),(IF(CT$33&gt;$H50,$A50,"")),""))),"")</f>
        <v/>
      </c>
      <c r="CU50" s="44">
        <f>IFERROR(IF($H50+$I50=CU$33,$A50,(IF((CU$33&lt;$H50+$I50),(IF(CU$33&gt;$H50,$A50,"")),""))),"")</f>
        <v/>
      </c>
      <c r="CV50" s="44">
        <f>IFERROR(IF($H50+$I50=CV$33,$A50,(IF((CV$33&lt;$H50+$I50),(IF(CV$33&gt;$H50,$A50,"")),""))),"")</f>
        <v/>
      </c>
      <c r="CW50" s="44">
        <f>IFERROR(IF($H50+$I50=CW$33,$A50,(IF((CW$33&lt;$H50+$I50),(IF(CW$33&gt;$H50,$A50,"")),""))),"")</f>
        <v/>
      </c>
      <c r="CX50" s="44">
        <f>IFERROR(IF($H50+$I50=CX$33,$A50,(IF((CX$33&lt;$H50+$I50),(IF(CX$33&gt;$H50,$A50,"")),""))),"")</f>
        <v/>
      </c>
      <c r="CY50" s="44">
        <f>IFERROR(IF($H50+$I50=CY$33,$A50,(IF((CY$33&lt;$H50+$I50),(IF(CY$33&gt;$H50,$A50,"")),""))),"")</f>
        <v/>
      </c>
      <c r="CZ50" s="44">
        <f>IFERROR(IF($H50+$I50=CZ$33,$A50,(IF((CZ$33&lt;$H50+$I50),(IF(CZ$33&gt;$H50,$A50,"")),""))),"")</f>
        <v/>
      </c>
      <c r="DA50" s="45">
        <f>IFERROR(IF($H50+$I50=DA$33,$A50,(IF((DA$33&lt;$H50+$I50),(IF(DA$33&gt;$H50,$A50,"")),""))),"")</f>
        <v/>
      </c>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c r="AU51" s="1" t="n"/>
      <c r="AV51" s="1" t="n"/>
      <c r="AW51" s="1" t="n"/>
      <c r="AX51" s="1" t="n"/>
      <c r="AY51" s="1" t="n"/>
      <c r="AZ51" s="1" t="n"/>
      <c r="BA51" s="1" t="n"/>
      <c r="BB51" s="1" t="n"/>
      <c r="BC51" s="1" t="n"/>
      <c r="BD51" s="1" t="n"/>
      <c r="BE51" s="1" t="n"/>
      <c r="BF51" s="1" t="n"/>
      <c r="BG51" s="1" t="n"/>
      <c r="BH51" s="1" t="n"/>
      <c r="BI51" s="1" t="n"/>
      <c r="BJ51" s="1" t="n"/>
      <c r="BK51" s="1" t="n"/>
      <c r="BL51" s="1" t="n"/>
      <c r="BM51" s="1" t="n"/>
      <c r="BN51" s="1" t="n"/>
      <c r="BO51" s="1" t="n"/>
      <c r="BP51" s="1" t="n"/>
      <c r="BQ51" s="1" t="n"/>
      <c r="BR51" s="1" t="n"/>
      <c r="BS51" s="1" t="n"/>
      <c r="BT51" s="1" t="n"/>
      <c r="BU51" s="1" t="n"/>
      <c r="BV51" s="1" t="n"/>
      <c r="BW51" s="1" t="n"/>
      <c r="BX51" s="1" t="n"/>
      <c r="BY51" s="1" t="n"/>
      <c r="BZ51" s="1" t="n"/>
      <c r="CA51" s="1" t="n"/>
      <c r="CB51" s="1" t="n"/>
      <c r="CC51" s="1" t="n"/>
      <c r="CD51" s="1" t="n"/>
      <c r="CE51" s="1" t="n"/>
      <c r="CF51" s="1" t="n"/>
      <c r="CG51" s="1" t="n"/>
      <c r="CH51" s="1" t="n"/>
      <c r="CI51" s="1" t="n"/>
      <c r="CJ51" s="1" t="n"/>
      <c r="CK51" s="1" t="n"/>
      <c r="CL51" s="1" t="n"/>
      <c r="CM51" s="1" t="n"/>
      <c r="CN51" s="1" t="n"/>
      <c r="CO51" s="1" t="n"/>
      <c r="CP51" s="1" t="n"/>
      <c r="CQ51" s="1" t="n"/>
      <c r="CR51" s="1" t="n"/>
      <c r="CS51" s="1" t="n"/>
      <c r="CT51" s="1" t="n"/>
      <c r="CU51" s="1" t="n"/>
      <c r="CV51" s="1" t="n"/>
      <c r="CW51" s="1" t="n"/>
      <c r="CX51" s="1" t="n"/>
      <c r="CY51" s="1" t="n"/>
      <c r="CZ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c r="AU52" s="1" t="n"/>
      <c r="AV52" s="1" t="n"/>
      <c r="AW52" s="1" t="n"/>
      <c r="AX52" s="1" t="n"/>
      <c r="AY52" s="1" t="n"/>
      <c r="AZ52" s="1" t="n"/>
      <c r="BA52" s="1" t="n"/>
      <c r="BB52" s="1" t="n"/>
      <c r="BC52" s="1" t="n"/>
      <c r="BD52" s="1" t="n"/>
      <c r="BE52" s="1" t="n"/>
      <c r="BF52" s="1" t="n"/>
      <c r="BG52" s="1" t="n"/>
      <c r="BH52" s="1" t="n"/>
      <c r="BI52" s="1" t="n"/>
      <c r="BJ52" s="1" t="n"/>
      <c r="BK52" s="1" t="n"/>
      <c r="BL52" s="1" t="n"/>
      <c r="BM52" s="1" t="n"/>
      <c r="BN52" s="1" t="n"/>
      <c r="BO52" s="1" t="n"/>
      <c r="BP52" s="1" t="n"/>
      <c r="BQ52" s="1" t="n"/>
      <c r="BR52" s="1" t="n"/>
      <c r="BS52" s="1" t="n"/>
      <c r="BT52" s="1" t="n"/>
      <c r="BU52" s="1" t="n"/>
      <c r="BV52" s="1" t="n"/>
      <c r="BW52" s="1" t="n"/>
      <c r="BX52" s="1" t="n"/>
      <c r="BY52" s="1" t="n"/>
      <c r="BZ52" s="1" t="n"/>
      <c r="CA52" s="1" t="n"/>
      <c r="CB52" s="1" t="n"/>
      <c r="CC52" s="1" t="n"/>
      <c r="CD52" s="1" t="n"/>
      <c r="CE52" s="1" t="n"/>
      <c r="CF52" s="1" t="n"/>
      <c r="CG52" s="1" t="n"/>
      <c r="CH52" s="1" t="n"/>
      <c r="CI52" s="1" t="n"/>
      <c r="CJ52" s="1" t="n"/>
      <c r="CK52" s="1" t="n"/>
      <c r="CL52" s="1" t="n"/>
      <c r="CM52" s="1" t="n"/>
      <c r="CN52" s="1" t="n"/>
      <c r="CO52" s="1" t="n"/>
      <c r="CP52" s="1" t="n"/>
      <c r="CQ52" s="1" t="n"/>
      <c r="CR52" s="1" t="n"/>
      <c r="CS52" s="1" t="n"/>
      <c r="CT52" s="1" t="n"/>
      <c r="CU52" s="1" t="n"/>
      <c r="CV52" s="1" t="n"/>
      <c r="CW52" s="1" t="n"/>
      <c r="CX52" s="1" t="n"/>
      <c r="CY52" s="1" t="n"/>
      <c r="CZ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c r="AU53" s="1" t="n"/>
      <c r="AV53" s="1" t="n"/>
      <c r="AW53" s="1" t="n"/>
      <c r="AX53" s="1" t="n"/>
      <c r="AY53" s="1" t="n"/>
      <c r="AZ53" s="1" t="n"/>
      <c r="BA53" s="1" t="n"/>
      <c r="BB53" s="1" t="n"/>
      <c r="BC53" s="1" t="n"/>
      <c r="BD53" s="1" t="n"/>
      <c r="BE53" s="1" t="n"/>
      <c r="BF53" s="1" t="n"/>
      <c r="BG53" s="1" t="n"/>
      <c r="BH53" s="1" t="n"/>
      <c r="BI53" s="1" t="n"/>
      <c r="BJ53" s="1" t="n"/>
      <c r="BK53" s="1" t="n"/>
      <c r="BL53" s="1" t="n"/>
      <c r="BM53" s="1" t="n"/>
      <c r="BN53" s="1" t="n"/>
      <c r="BO53" s="1" t="n"/>
      <c r="BP53" s="1" t="n"/>
      <c r="BQ53" s="1" t="n"/>
      <c r="BR53" s="1" t="n"/>
      <c r="BS53" s="1" t="n"/>
      <c r="BT53" s="1" t="n"/>
      <c r="BU53" s="1" t="n"/>
      <c r="BV53" s="1" t="n"/>
      <c r="BW53" s="1" t="n"/>
      <c r="BX53" s="1" t="n"/>
      <c r="BY53" s="1" t="n"/>
      <c r="BZ53" s="1" t="n"/>
      <c r="CA53" s="1" t="n"/>
      <c r="CB53" s="1" t="n"/>
      <c r="CC53" s="1" t="n"/>
      <c r="CD53" s="1" t="n"/>
      <c r="CE53" s="1" t="n"/>
      <c r="CF53" s="1" t="n"/>
      <c r="CG53" s="1" t="n"/>
      <c r="CH53" s="1" t="n"/>
      <c r="CI53" s="1" t="n"/>
      <c r="CJ53" s="1" t="n"/>
      <c r="CK53" s="1" t="n"/>
      <c r="CL53" s="1" t="n"/>
      <c r="CM53" s="1" t="n"/>
      <c r="CN53" s="1" t="n"/>
      <c r="CO53" s="1" t="n"/>
      <c r="CP53" s="1" t="n"/>
      <c r="CQ53" s="1" t="n"/>
      <c r="CR53" s="1" t="n"/>
      <c r="CS53" s="1" t="n"/>
      <c r="CT53" s="1" t="n"/>
      <c r="CU53" s="1" t="n"/>
      <c r="CV53" s="1" t="n"/>
      <c r="CW53" s="1" t="n"/>
      <c r="CX53" s="1" t="n"/>
      <c r="CY53" s="1" t="n"/>
      <c r="CZ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c r="AU54" s="1" t="n"/>
      <c r="AV54" s="1" t="n"/>
      <c r="AW54" s="1" t="n"/>
      <c r="AX54" s="1" t="n"/>
      <c r="AY54" s="1" t="n"/>
      <c r="AZ54" s="1" t="n"/>
      <c r="BA54" s="1" t="n"/>
      <c r="BB54" s="1" t="n"/>
      <c r="BC54" s="1" t="n"/>
      <c r="BD54" s="1" t="n"/>
      <c r="BE54" s="1" t="n"/>
      <c r="BF54" s="1" t="n"/>
      <c r="BG54" s="1" t="n"/>
      <c r="BH54" s="1" t="n"/>
      <c r="BI54" s="1" t="n"/>
      <c r="BJ54" s="1" t="n"/>
      <c r="BK54" s="1" t="n"/>
      <c r="BL54" s="1" t="n"/>
      <c r="BM54" s="1" t="n"/>
      <c r="BN54" s="1" t="n"/>
      <c r="BO54" s="1" t="n"/>
      <c r="BP54" s="1" t="n"/>
      <c r="BQ54" s="1" t="n"/>
      <c r="BR54" s="1" t="n"/>
      <c r="BS54" s="1" t="n"/>
      <c r="BT54" s="1" t="n"/>
      <c r="BU54" s="1" t="n"/>
      <c r="BV54" s="1" t="n"/>
      <c r="BW54" s="1" t="n"/>
      <c r="BX54" s="1" t="n"/>
      <c r="BY54" s="1" t="n"/>
      <c r="BZ54" s="1" t="n"/>
      <c r="CA54" s="1" t="n"/>
      <c r="CB54" s="1" t="n"/>
      <c r="CC54" s="1" t="n"/>
      <c r="CD54" s="1" t="n"/>
      <c r="CE54" s="1" t="n"/>
      <c r="CF54" s="1" t="n"/>
      <c r="CG54" s="1" t="n"/>
      <c r="CH54" s="1" t="n"/>
      <c r="CI54" s="1" t="n"/>
      <c r="CJ54" s="1" t="n"/>
      <c r="CK54" s="1" t="n"/>
      <c r="CL54" s="1" t="n"/>
      <c r="CM54" s="1" t="n"/>
      <c r="CN54" s="1" t="n"/>
      <c r="CO54" s="1" t="n"/>
      <c r="CP54" s="1" t="n"/>
      <c r="CQ54" s="1" t="n"/>
      <c r="CR54" s="1" t="n"/>
      <c r="CS54" s="1" t="n"/>
      <c r="CT54" s="1" t="n"/>
      <c r="CU54" s="1" t="n"/>
      <c r="CV54" s="1" t="n"/>
      <c r="CW54" s="1" t="n"/>
      <c r="CX54" s="1" t="n"/>
      <c r="CY54" s="1" t="n"/>
      <c r="C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c r="AU55" s="1" t="n"/>
      <c r="AV55" s="1" t="n"/>
      <c r="AW55" s="1" t="n"/>
      <c r="AX55" s="1" t="n"/>
      <c r="AY55" s="1" t="n"/>
      <c r="AZ55" s="1" t="n"/>
      <c r="BA55" s="1" t="n"/>
      <c r="BB55" s="1" t="n"/>
      <c r="BC55" s="1" t="n"/>
      <c r="BD55" s="1" t="n"/>
      <c r="BE55" s="1" t="n"/>
      <c r="BF55" s="1" t="n"/>
      <c r="BG55" s="1" t="n"/>
      <c r="BH55" s="1" t="n"/>
      <c r="BI55" s="1" t="n"/>
      <c r="BJ55" s="1" t="n"/>
      <c r="BK55" s="1" t="n"/>
      <c r="BL55" s="1" t="n"/>
      <c r="BM55" s="1" t="n"/>
      <c r="BN55" s="1" t="n"/>
      <c r="BO55" s="1" t="n"/>
      <c r="BP55" s="1" t="n"/>
      <c r="BQ55" s="1" t="n"/>
      <c r="BR55" s="1" t="n"/>
      <c r="BS55" s="1" t="n"/>
      <c r="BT55" s="1" t="n"/>
      <c r="BU55" s="1" t="n"/>
      <c r="BV55" s="1" t="n"/>
      <c r="BW55" s="1" t="n"/>
      <c r="BX55" s="1" t="n"/>
      <c r="BY55" s="1" t="n"/>
      <c r="BZ55" s="1" t="n"/>
      <c r="CA55" s="1" t="n"/>
      <c r="CB55" s="1" t="n"/>
      <c r="CC55" s="1" t="n"/>
      <c r="CD55" s="1" t="n"/>
      <c r="CE55" s="1" t="n"/>
      <c r="CF55" s="1" t="n"/>
      <c r="CG55" s="1" t="n"/>
      <c r="CH55" s="1" t="n"/>
      <c r="CI55" s="1" t="n"/>
      <c r="CJ55" s="1" t="n"/>
      <c r="CK55" s="1" t="n"/>
      <c r="CL55" s="1" t="n"/>
      <c r="CM55" s="1" t="n"/>
      <c r="CN55" s="1" t="n"/>
      <c r="CO55" s="1" t="n"/>
      <c r="CP55" s="1" t="n"/>
      <c r="CQ55" s="1" t="n"/>
      <c r="CR55" s="1" t="n"/>
      <c r="CS55" s="1" t="n"/>
      <c r="CT55" s="1" t="n"/>
      <c r="CU55" s="1" t="n"/>
      <c r="CV55" s="1" t="n"/>
      <c r="CW55" s="1" t="n"/>
      <c r="CX55" s="1" t="n"/>
      <c r="CY55" s="1" t="n"/>
      <c r="C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c r="AU56" s="1" t="n"/>
      <c r="AV56" s="1" t="n"/>
      <c r="AW56" s="1" t="n"/>
      <c r="AX56" s="1" t="n"/>
      <c r="AY56" s="1" t="n"/>
      <c r="AZ56" s="1" t="n"/>
      <c r="BA56" s="1" t="n"/>
      <c r="BB56" s="1" t="n"/>
      <c r="BC56" s="1" t="n"/>
      <c r="BD56" s="1" t="n"/>
      <c r="BE56" s="1" t="n"/>
      <c r="BF56" s="1" t="n"/>
      <c r="BG56" s="1" t="n"/>
      <c r="BH56" s="1" t="n"/>
      <c r="BI56" s="1" t="n"/>
      <c r="BJ56" s="1" t="n"/>
      <c r="BK56" s="1" t="n"/>
      <c r="BL56" s="1" t="n"/>
      <c r="BM56" s="1" t="n"/>
      <c r="BN56" s="1" t="n"/>
      <c r="BO56" s="1" t="n"/>
      <c r="BP56" s="1" t="n"/>
      <c r="BQ56" s="1" t="n"/>
      <c r="BR56" s="1" t="n"/>
      <c r="BS56" s="1" t="n"/>
      <c r="BT56" s="1" t="n"/>
      <c r="BU56" s="1" t="n"/>
      <c r="BV56" s="1" t="n"/>
      <c r="BW56" s="1" t="n"/>
      <c r="BX56" s="1" t="n"/>
      <c r="BY56" s="1" t="n"/>
      <c r="BZ56" s="1" t="n"/>
      <c r="CA56" s="1" t="n"/>
      <c r="CB56" s="1" t="n"/>
      <c r="CC56" s="1" t="n"/>
      <c r="CD56" s="1" t="n"/>
      <c r="CE56" s="1" t="n"/>
      <c r="CF56" s="1" t="n"/>
      <c r="CG56" s="1" t="n"/>
      <c r="CH56" s="1" t="n"/>
      <c r="CI56" s="1" t="n"/>
      <c r="CJ56" s="1" t="n"/>
      <c r="CK56" s="1" t="n"/>
      <c r="CL56" s="1" t="n"/>
      <c r="CM56" s="1" t="n"/>
      <c r="CN56" s="1" t="n"/>
      <c r="CO56" s="1" t="n"/>
      <c r="CP56" s="1" t="n"/>
      <c r="CQ56" s="1" t="n"/>
      <c r="CR56" s="1" t="n"/>
      <c r="CS56" s="1" t="n"/>
      <c r="CT56" s="1" t="n"/>
      <c r="CU56" s="1" t="n"/>
      <c r="CV56" s="1" t="n"/>
      <c r="CW56" s="1" t="n"/>
      <c r="CX56" s="1" t="n"/>
      <c r="CY56" s="1" t="n"/>
      <c r="C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c r="AU57" s="1" t="n"/>
      <c r="AV57" s="1" t="n"/>
      <c r="AW57" s="1" t="n"/>
      <c r="AX57" s="1" t="n"/>
      <c r="AY57" s="1" t="n"/>
      <c r="AZ57" s="1" t="n"/>
      <c r="BA57" s="1" t="n"/>
      <c r="BB57" s="1" t="n"/>
      <c r="BC57" s="1" t="n"/>
      <c r="BD57" s="1" t="n"/>
      <c r="BE57" s="1" t="n"/>
      <c r="BF57" s="1" t="n"/>
      <c r="BG57" s="1" t="n"/>
      <c r="BH57" s="1" t="n"/>
      <c r="BI57" s="1" t="n"/>
      <c r="BJ57" s="1" t="n"/>
      <c r="BK57" s="1" t="n"/>
      <c r="BL57" s="1" t="n"/>
      <c r="BM57" s="1" t="n"/>
      <c r="BN57" s="1" t="n"/>
      <c r="BO57" s="1" t="n"/>
      <c r="BP57" s="1" t="n"/>
      <c r="BQ57" s="1" t="n"/>
      <c r="BR57" s="1" t="n"/>
      <c r="BS57" s="1" t="n"/>
      <c r="BT57" s="1" t="n"/>
      <c r="BU57" s="1" t="n"/>
      <c r="BV57" s="1" t="n"/>
      <c r="BW57" s="1" t="n"/>
      <c r="BX57" s="1" t="n"/>
      <c r="BY57" s="1" t="n"/>
      <c r="BZ57" s="1" t="n"/>
      <c r="CA57" s="1" t="n"/>
      <c r="CB57" s="1" t="n"/>
      <c r="CC57" s="1" t="n"/>
      <c r="CD57" s="1" t="n"/>
      <c r="CE57" s="1" t="n"/>
      <c r="CF57" s="1" t="n"/>
      <c r="CG57" s="1" t="n"/>
      <c r="CH57" s="1" t="n"/>
      <c r="CI57" s="1" t="n"/>
      <c r="CJ57" s="1" t="n"/>
      <c r="CK57" s="1" t="n"/>
      <c r="CL57" s="1" t="n"/>
      <c r="CM57" s="1" t="n"/>
      <c r="CN57" s="1" t="n"/>
      <c r="CO57" s="1" t="n"/>
      <c r="CP57" s="1" t="n"/>
      <c r="CQ57" s="1" t="n"/>
      <c r="CR57" s="1" t="n"/>
      <c r="CS57" s="1" t="n"/>
      <c r="CT57" s="1" t="n"/>
      <c r="CU57" s="1" t="n"/>
      <c r="CV57" s="1" t="n"/>
      <c r="CW57" s="1" t="n"/>
      <c r="CX57" s="1" t="n"/>
      <c r="CY57" s="1" t="n"/>
      <c r="C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c r="AU58" s="1" t="n"/>
      <c r="AV58" s="1" t="n"/>
      <c r="AW58" s="1" t="n"/>
      <c r="AX58" s="1" t="n"/>
      <c r="AY58" s="1" t="n"/>
      <c r="AZ58" s="1" t="n"/>
      <c r="BA58" s="1" t="n"/>
      <c r="BB58" s="1" t="n"/>
      <c r="BC58" s="1" t="n"/>
      <c r="BD58" s="1" t="n"/>
      <c r="BE58" s="1" t="n"/>
      <c r="BF58" s="1" t="n"/>
      <c r="BG58" s="1" t="n"/>
      <c r="BH58" s="1" t="n"/>
      <c r="BI58" s="1" t="n"/>
      <c r="BJ58" s="1" t="n"/>
      <c r="BK58" s="1" t="n"/>
      <c r="BL58" s="1" t="n"/>
      <c r="BM58" s="1" t="n"/>
      <c r="BN58" s="1" t="n"/>
      <c r="BO58" s="1" t="n"/>
      <c r="BP58" s="1" t="n"/>
      <c r="BQ58" s="1" t="n"/>
      <c r="BR58" s="1" t="n"/>
      <c r="BS58" s="1" t="n"/>
      <c r="BT58" s="1" t="n"/>
      <c r="BU58" s="1" t="n"/>
      <c r="BV58" s="1" t="n"/>
      <c r="BW58" s="1" t="n"/>
      <c r="BX58" s="1" t="n"/>
      <c r="BY58" s="1" t="n"/>
      <c r="BZ58" s="1" t="n"/>
      <c r="CA58" s="1" t="n"/>
      <c r="CB58" s="1" t="n"/>
      <c r="CC58" s="1" t="n"/>
      <c r="CD58" s="1" t="n"/>
      <c r="CE58" s="1" t="n"/>
      <c r="CF58" s="1" t="n"/>
      <c r="CG58" s="1" t="n"/>
      <c r="CH58" s="1" t="n"/>
      <c r="CI58" s="1" t="n"/>
      <c r="CJ58" s="1" t="n"/>
      <c r="CK58" s="1" t="n"/>
      <c r="CL58" s="1" t="n"/>
      <c r="CM58" s="1" t="n"/>
      <c r="CN58" s="1" t="n"/>
      <c r="CO58" s="1" t="n"/>
      <c r="CP58" s="1" t="n"/>
      <c r="CQ58" s="1" t="n"/>
      <c r="CR58" s="1" t="n"/>
      <c r="CS58" s="1" t="n"/>
      <c r="CT58" s="1" t="n"/>
      <c r="CU58" s="1" t="n"/>
      <c r="CV58" s="1" t="n"/>
      <c r="CW58" s="1" t="n"/>
      <c r="CX58" s="1" t="n"/>
      <c r="CY58" s="1" t="n"/>
      <c r="C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c r="AU59" s="1" t="n"/>
      <c r="AV59" s="1" t="n"/>
      <c r="AW59" s="1" t="n"/>
      <c r="AX59" s="1" t="n"/>
      <c r="AY59" s="1" t="n"/>
      <c r="AZ59" s="1" t="n"/>
      <c r="BA59" s="1" t="n"/>
      <c r="BB59" s="1" t="n"/>
      <c r="BC59" s="1" t="n"/>
      <c r="BD59" s="1" t="n"/>
      <c r="BE59" s="1" t="n"/>
      <c r="BF59" s="1" t="n"/>
      <c r="BG59" s="1" t="n"/>
      <c r="BH59" s="1" t="n"/>
      <c r="BI59" s="1" t="n"/>
      <c r="BJ59" s="1" t="n"/>
      <c r="BK59" s="1" t="n"/>
      <c r="BL59" s="1" t="n"/>
      <c r="BM59" s="1" t="n"/>
      <c r="BN59" s="1" t="n"/>
      <c r="BO59" s="1" t="n"/>
      <c r="BP59" s="1" t="n"/>
      <c r="BQ59" s="1" t="n"/>
      <c r="BR59" s="1" t="n"/>
      <c r="BS59" s="1" t="n"/>
      <c r="BT59" s="1" t="n"/>
      <c r="BU59" s="1" t="n"/>
      <c r="BV59" s="1" t="n"/>
      <c r="BW59" s="1" t="n"/>
      <c r="BX59" s="1" t="n"/>
      <c r="BY59" s="1" t="n"/>
      <c r="BZ59" s="1" t="n"/>
      <c r="CA59" s="1" t="n"/>
      <c r="CB59" s="1" t="n"/>
      <c r="CC59" s="1" t="n"/>
      <c r="CD59" s="1" t="n"/>
      <c r="CE59" s="1" t="n"/>
      <c r="CF59" s="1" t="n"/>
      <c r="CG59" s="1" t="n"/>
      <c r="CH59" s="1" t="n"/>
      <c r="CI59" s="1" t="n"/>
      <c r="CJ59" s="1" t="n"/>
      <c r="CK59" s="1" t="n"/>
      <c r="CL59" s="1" t="n"/>
      <c r="CM59" s="1" t="n"/>
      <c r="CN59" s="1" t="n"/>
      <c r="CO59" s="1" t="n"/>
      <c r="CP59" s="1" t="n"/>
      <c r="CQ59" s="1" t="n"/>
      <c r="CR59" s="1" t="n"/>
      <c r="CS59" s="1" t="n"/>
      <c r="CT59" s="1" t="n"/>
      <c r="CU59" s="1" t="n"/>
      <c r="CV59" s="1" t="n"/>
      <c r="CW59" s="1" t="n"/>
      <c r="CX59" s="1" t="n"/>
      <c r="CY59" s="1" t="n"/>
      <c r="CZ59" s="1" t="n"/>
    </row>
    <row r="60" hidden="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c r="BT60" s="1" t="n"/>
      <c r="BU60" s="1" t="n"/>
      <c r="BV60" s="1" t="n"/>
      <c r="BW60" s="1" t="n"/>
      <c r="BX60" s="1" t="n"/>
      <c r="BY60" s="1" t="n"/>
      <c r="BZ60" s="1" t="n"/>
      <c r="CA60" s="1" t="n"/>
      <c r="CB60" s="1" t="n"/>
      <c r="CC60" s="1" t="n"/>
      <c r="CD60" s="1" t="n"/>
      <c r="CE60" s="1" t="n"/>
      <c r="CF60" s="1" t="n"/>
      <c r="CG60" s="1" t="n"/>
      <c r="CH60" s="1" t="n"/>
      <c r="CI60" s="1" t="n"/>
      <c r="CJ60" s="1" t="n"/>
      <c r="CK60" s="1" t="n"/>
      <c r="CL60" s="1" t="n"/>
      <c r="CM60" s="1" t="n"/>
      <c r="CN60" s="1" t="n"/>
      <c r="CO60" s="1" t="n"/>
      <c r="CP60" s="1" t="n"/>
      <c r="CQ60" s="1" t="n"/>
      <c r="CR60" s="1" t="n"/>
      <c r="CS60" s="1" t="n"/>
      <c r="CT60" s="1" t="n"/>
      <c r="CU60" s="1" t="n"/>
      <c r="CV60" s="1" t="n"/>
      <c r="CW60" s="1" t="n"/>
      <c r="CX60" s="1" t="n"/>
      <c r="CY60" s="1" t="n"/>
      <c r="CZ60" s="1" t="n"/>
    </row>
    <row r="61" hidden="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c r="AW61" s="1" t="n"/>
      <c r="AX61" s="1" t="n"/>
      <c r="AY61" s="1" t="n"/>
      <c r="AZ61" s="1" t="n"/>
      <c r="BA61" s="1" t="n"/>
      <c r="BB61" s="1" t="n"/>
      <c r="BC61" s="1" t="n"/>
      <c r="BD61" s="1" t="n"/>
      <c r="BE61" s="1" t="n"/>
      <c r="BF61" s="1" t="n"/>
      <c r="BG61" s="1" t="n"/>
      <c r="BH61" s="1" t="n"/>
      <c r="BI61" s="1" t="n"/>
      <c r="BJ61" s="1" t="n"/>
      <c r="BK61" s="1" t="n"/>
      <c r="BL61" s="1" t="n"/>
      <c r="BM61" s="1" t="n"/>
      <c r="BN61" s="1" t="n"/>
      <c r="BO61" s="1" t="n"/>
      <c r="BP61" s="1" t="n"/>
      <c r="BQ61" s="1" t="n"/>
      <c r="BR61" s="1" t="n"/>
      <c r="BS61" s="1" t="n"/>
      <c r="BT61" s="1" t="n"/>
      <c r="BU61" s="1" t="n"/>
      <c r="BV61" s="1" t="n"/>
      <c r="BW61" s="1" t="n"/>
      <c r="BX61" s="1" t="n"/>
      <c r="BY61" s="1" t="n"/>
      <c r="BZ61" s="1" t="n"/>
      <c r="CA61" s="1" t="n"/>
      <c r="CB61" s="1" t="n"/>
      <c r="CC61" s="1" t="n"/>
      <c r="CD61" s="1" t="n"/>
      <c r="CE61" s="1" t="n"/>
      <c r="CF61" s="1" t="n"/>
      <c r="CG61" s="1" t="n"/>
      <c r="CH61" s="1" t="n"/>
      <c r="CI61" s="1" t="n"/>
      <c r="CJ61" s="1" t="n"/>
      <c r="CK61" s="1" t="n"/>
      <c r="CL61" s="1" t="n"/>
      <c r="CM61" s="1" t="n"/>
      <c r="CN61" s="1" t="n"/>
      <c r="CO61" s="1" t="n"/>
      <c r="CP61" s="1" t="n"/>
      <c r="CQ61" s="1" t="n"/>
      <c r="CR61" s="1" t="n"/>
      <c r="CS61" s="1" t="n"/>
      <c r="CT61" s="1" t="n"/>
      <c r="CU61" s="1" t="n"/>
      <c r="CV61" s="1" t="n"/>
      <c r="CW61" s="1" t="n"/>
      <c r="CX61" s="1" t="n"/>
      <c r="CY61" s="1" t="n"/>
      <c r="CZ61" s="1" t="n"/>
    </row>
    <row r="62" hidden="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c r="AW62" s="1" t="n"/>
      <c r="AX62" s="1" t="n"/>
      <c r="AY62" s="1" t="n"/>
      <c r="AZ62" s="1" t="n"/>
      <c r="BA62" s="1" t="n"/>
      <c r="BB62" s="1" t="n"/>
      <c r="BC62" s="1" t="n"/>
      <c r="BD62" s="1" t="n"/>
      <c r="BE62" s="1" t="n"/>
      <c r="BF62" s="1" t="n"/>
      <c r="BG62" s="1" t="n"/>
      <c r="BH62" s="1" t="n"/>
      <c r="BI62" s="1" t="n"/>
      <c r="BJ62" s="1" t="n"/>
      <c r="BK62" s="1" t="n"/>
      <c r="BL62" s="1" t="n"/>
      <c r="BM62" s="1" t="n"/>
      <c r="BN62" s="1" t="n"/>
      <c r="BO62" s="1" t="n"/>
      <c r="BP62" s="1" t="n"/>
      <c r="BQ62" s="1" t="n"/>
      <c r="BR62" s="1" t="n"/>
      <c r="BS62" s="1" t="n"/>
      <c r="BT62" s="1" t="n"/>
      <c r="BU62" s="1" t="n"/>
      <c r="BV62" s="1" t="n"/>
      <c r="BW62" s="1" t="n"/>
      <c r="BX62" s="1" t="n"/>
      <c r="BY62" s="1" t="n"/>
      <c r="BZ62" s="1" t="n"/>
      <c r="CA62" s="1" t="n"/>
      <c r="CB62" s="1" t="n"/>
      <c r="CC62" s="1" t="n"/>
      <c r="CD62" s="1" t="n"/>
      <c r="CE62" s="1" t="n"/>
      <c r="CF62" s="1" t="n"/>
      <c r="CG62" s="1" t="n"/>
      <c r="CH62" s="1" t="n"/>
      <c r="CI62" s="1" t="n"/>
      <c r="CJ62" s="1" t="n"/>
      <c r="CK62" s="1" t="n"/>
      <c r="CL62" s="1" t="n"/>
      <c r="CM62" s="1" t="n"/>
      <c r="CN62" s="1" t="n"/>
      <c r="CO62" s="1" t="n"/>
      <c r="CP62" s="1" t="n"/>
      <c r="CQ62" s="1" t="n"/>
      <c r="CR62" s="1" t="n"/>
      <c r="CS62" s="1" t="n"/>
      <c r="CT62" s="1" t="n"/>
      <c r="CU62" s="1" t="n"/>
      <c r="CV62" s="1" t="n"/>
      <c r="CW62" s="1" t="n"/>
      <c r="CX62" s="1" t="n"/>
      <c r="CY62" s="1" t="n"/>
      <c r="CZ62" s="1" t="n"/>
    </row>
    <row r="63" hidden="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c r="AW63" s="1" t="n"/>
      <c r="AX63" s="1" t="n"/>
      <c r="AY63" s="1" t="n"/>
      <c r="AZ63" s="1" t="n"/>
      <c r="BA63" s="1" t="n"/>
      <c r="BB63" s="1" t="n"/>
      <c r="BC63" s="1" t="n"/>
      <c r="BD63" s="1" t="n"/>
      <c r="BE63" s="1" t="n"/>
      <c r="BF63" s="1" t="n"/>
      <c r="BG63" s="1" t="n"/>
      <c r="BH63" s="1" t="n"/>
      <c r="BI63" s="1" t="n"/>
      <c r="BJ63" s="1" t="n"/>
      <c r="BK63" s="1" t="n"/>
      <c r="BL63" s="1" t="n"/>
      <c r="BM63" s="1" t="n"/>
      <c r="BN63" s="1" t="n"/>
      <c r="BO63" s="1" t="n"/>
      <c r="BP63" s="1" t="n"/>
      <c r="BQ63" s="1" t="n"/>
      <c r="BR63" s="1" t="n"/>
      <c r="BS63" s="1" t="n"/>
      <c r="BT63" s="1" t="n"/>
      <c r="BU63" s="1" t="n"/>
      <c r="BV63" s="1" t="n"/>
      <c r="BW63" s="1" t="n"/>
      <c r="BX63" s="1" t="n"/>
      <c r="BY63" s="1" t="n"/>
      <c r="BZ63" s="1" t="n"/>
      <c r="CA63" s="1" t="n"/>
      <c r="CB63" s="1" t="n"/>
      <c r="CC63" s="1" t="n"/>
      <c r="CD63" s="1" t="n"/>
      <c r="CE63" s="1" t="n"/>
      <c r="CF63" s="1" t="n"/>
      <c r="CG63" s="1" t="n"/>
      <c r="CH63" s="1" t="n"/>
      <c r="CI63" s="1" t="n"/>
      <c r="CJ63" s="1" t="n"/>
      <c r="CK63" s="1" t="n"/>
      <c r="CL63" s="1" t="n"/>
      <c r="CM63" s="1" t="n"/>
      <c r="CN63" s="1" t="n"/>
      <c r="CO63" s="1" t="n"/>
      <c r="CP63" s="1" t="n"/>
      <c r="CQ63" s="1" t="n"/>
      <c r="CR63" s="1" t="n"/>
      <c r="CS63" s="1" t="n"/>
      <c r="CT63" s="1" t="n"/>
      <c r="CU63" s="1" t="n"/>
      <c r="CV63" s="1" t="n"/>
      <c r="CW63" s="1" t="n"/>
      <c r="CX63" s="1" t="n"/>
      <c r="CY63" s="1" t="n"/>
      <c r="CZ63" s="1" t="n"/>
    </row>
    <row r="64" hidden="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c r="AW64" s="1" t="n"/>
      <c r="AX64" s="1" t="n"/>
      <c r="AY64" s="1" t="n"/>
      <c r="AZ64" s="1" t="n"/>
      <c r="BA64" s="1" t="n"/>
      <c r="BB64" s="1" t="n"/>
      <c r="BC64" s="1" t="n"/>
      <c r="BD64" s="1" t="n"/>
      <c r="BE64" s="1" t="n"/>
      <c r="BF64" s="1" t="n"/>
      <c r="BG64" s="1" t="n"/>
      <c r="BH64" s="1" t="n"/>
      <c r="BI64" s="1" t="n"/>
      <c r="BJ64" s="1" t="n"/>
      <c r="BK64" s="1" t="n"/>
      <c r="BL64" s="1" t="n"/>
      <c r="BM64" s="1" t="n"/>
      <c r="BN64" s="1" t="n"/>
      <c r="BO64" s="1" t="n"/>
      <c r="BP64" s="1" t="n"/>
      <c r="BQ64" s="1" t="n"/>
      <c r="BR64" s="1" t="n"/>
      <c r="BS64" s="1" t="n"/>
      <c r="BT64" s="1" t="n"/>
      <c r="BU64" s="1" t="n"/>
      <c r="BV64" s="1" t="n"/>
      <c r="BW64" s="1" t="n"/>
      <c r="BX64" s="1" t="n"/>
      <c r="BY64" s="1" t="n"/>
      <c r="BZ64" s="1" t="n"/>
      <c r="CA64" s="1" t="n"/>
      <c r="CB64" s="1" t="n"/>
      <c r="CC64" s="1" t="n"/>
      <c r="CD64" s="1" t="n"/>
      <c r="CE64" s="1" t="n"/>
      <c r="CF64" s="1" t="n"/>
      <c r="CG64" s="1" t="n"/>
      <c r="CH64" s="1" t="n"/>
      <c r="CI64" s="1" t="n"/>
      <c r="CJ64" s="1" t="n"/>
      <c r="CK64" s="1" t="n"/>
      <c r="CL64" s="1" t="n"/>
      <c r="CM64" s="1" t="n"/>
      <c r="CN64" s="1" t="n"/>
      <c r="CO64" s="1" t="n"/>
      <c r="CP64" s="1" t="n"/>
      <c r="CQ64" s="1" t="n"/>
      <c r="CR64" s="1" t="n"/>
      <c r="CS64" s="1" t="n"/>
      <c r="CT64" s="1" t="n"/>
      <c r="CU64" s="1" t="n"/>
      <c r="CV64" s="1" t="n"/>
      <c r="CW64" s="1" t="n"/>
      <c r="CX64" s="1" t="n"/>
      <c r="CY64" s="1" t="n"/>
      <c r="CZ64" s="1" t="n"/>
    </row>
    <row r="65" hidden="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c r="AW65" s="1" t="n"/>
      <c r="AX65" s="1" t="n"/>
      <c r="AY65" s="1" t="n"/>
      <c r="AZ65" s="1" t="n"/>
      <c r="BA65" s="1" t="n"/>
      <c r="BB65" s="1" t="n"/>
      <c r="BC65" s="1" t="n"/>
      <c r="BD65" s="1" t="n"/>
      <c r="BE65" s="1" t="n"/>
      <c r="BF65" s="1" t="n"/>
      <c r="BG65" s="1" t="n"/>
      <c r="BH65" s="1" t="n"/>
      <c r="BI65" s="1" t="n"/>
      <c r="BJ65" s="1" t="n"/>
      <c r="BK65" s="1" t="n"/>
      <c r="BL65" s="1" t="n"/>
      <c r="BM65" s="1" t="n"/>
      <c r="BN65" s="1" t="n"/>
      <c r="BO65" s="1" t="n"/>
      <c r="BP65" s="1" t="n"/>
      <c r="BQ65" s="1" t="n"/>
      <c r="BR65" s="1" t="n"/>
      <c r="BS65" s="1" t="n"/>
      <c r="BT65" s="1" t="n"/>
      <c r="BU65" s="1" t="n"/>
      <c r="BV65" s="1" t="n"/>
      <c r="BW65" s="1" t="n"/>
      <c r="BX65" s="1" t="n"/>
      <c r="BY65" s="1" t="n"/>
      <c r="BZ65" s="1" t="n"/>
      <c r="CA65" s="1" t="n"/>
      <c r="CB65" s="1" t="n"/>
      <c r="CC65" s="1" t="n"/>
      <c r="CD65" s="1" t="n"/>
      <c r="CE65" s="1" t="n"/>
      <c r="CF65" s="1" t="n"/>
      <c r="CG65" s="1" t="n"/>
      <c r="CH65" s="1" t="n"/>
      <c r="CI65" s="1" t="n"/>
      <c r="CJ65" s="1" t="n"/>
      <c r="CK65" s="1" t="n"/>
      <c r="CL65" s="1" t="n"/>
      <c r="CM65" s="1" t="n"/>
      <c r="CN65" s="1" t="n"/>
      <c r="CO65" s="1" t="n"/>
      <c r="CP65" s="1" t="n"/>
      <c r="CQ65" s="1" t="n"/>
      <c r="CR65" s="1" t="n"/>
      <c r="CS65" s="1" t="n"/>
      <c r="CT65" s="1" t="n"/>
      <c r="CU65" s="1" t="n"/>
      <c r="CV65" s="1" t="n"/>
      <c r="CW65" s="1" t="n"/>
      <c r="CX65" s="1" t="n"/>
      <c r="CY65" s="1" t="n"/>
      <c r="CZ65" s="1" t="n"/>
    </row>
    <row r="66" hidden="1">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c r="AW66" s="1" t="n"/>
      <c r="AX66" s="1" t="n"/>
      <c r="AY66" s="1" t="n"/>
      <c r="AZ66" s="1" t="n"/>
      <c r="BA66" s="1" t="n"/>
      <c r="BB66" s="1" t="n"/>
      <c r="BC66" s="1" t="n"/>
      <c r="BD66" s="1" t="n"/>
      <c r="BE66" s="1" t="n"/>
      <c r="BF66" s="1" t="n"/>
      <c r="BG66" s="1" t="n"/>
      <c r="BH66" s="1" t="n"/>
      <c r="BI66" s="1" t="n"/>
      <c r="BJ66" s="1" t="n"/>
      <c r="BK66" s="1" t="n"/>
      <c r="BL66" s="1" t="n"/>
      <c r="BM66" s="1" t="n"/>
      <c r="BN66" s="1" t="n"/>
      <c r="BO66" s="1" t="n"/>
      <c r="BP66" s="1" t="n"/>
      <c r="BQ66" s="1" t="n"/>
      <c r="BR66" s="1" t="n"/>
      <c r="BS66" s="1" t="n"/>
      <c r="BT66" s="1" t="n"/>
      <c r="BU66" s="1" t="n"/>
      <c r="BV66" s="1" t="n"/>
      <c r="BW66" s="1" t="n"/>
      <c r="BX66" s="1" t="n"/>
      <c r="BY66" s="1" t="n"/>
      <c r="BZ66" s="1" t="n"/>
      <c r="CA66" s="1" t="n"/>
      <c r="CB66" s="1" t="n"/>
      <c r="CC66" s="1" t="n"/>
      <c r="CD66" s="1" t="n"/>
      <c r="CE66" s="1" t="n"/>
      <c r="CF66" s="1" t="n"/>
      <c r="CG66" s="1" t="n"/>
      <c r="CH66" s="1" t="n"/>
      <c r="CI66" s="1" t="n"/>
      <c r="CJ66" s="1" t="n"/>
      <c r="CK66" s="1" t="n"/>
      <c r="CL66" s="1" t="n"/>
      <c r="CM66" s="1" t="n"/>
      <c r="CN66" s="1" t="n"/>
      <c r="CO66" s="1" t="n"/>
      <c r="CP66" s="1" t="n"/>
      <c r="CQ66" s="1" t="n"/>
      <c r="CR66" s="1" t="n"/>
      <c r="CS66" s="1" t="n"/>
      <c r="CT66" s="1" t="n"/>
      <c r="CU66" s="1" t="n"/>
      <c r="CV66" s="1" t="n"/>
      <c r="CW66" s="1" t="n"/>
      <c r="CX66" s="1" t="n"/>
      <c r="CY66" s="1" t="n"/>
      <c r="CZ66" s="1" t="n"/>
    </row>
    <row r="67" hidden="1">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c r="AW67" s="1" t="n"/>
      <c r="AX67" s="1" t="n"/>
      <c r="AY67" s="1" t="n"/>
      <c r="AZ67" s="1" t="n"/>
      <c r="BA67" s="1" t="n"/>
      <c r="BB67" s="1" t="n"/>
      <c r="BC67" s="1" t="n"/>
      <c r="BD67" s="1" t="n"/>
      <c r="BE67" s="1" t="n"/>
      <c r="BF67" s="1" t="n"/>
      <c r="BG67" s="1" t="n"/>
      <c r="BH67" s="1" t="n"/>
      <c r="BI67" s="1" t="n"/>
      <c r="BJ67" s="1" t="n"/>
      <c r="BK67" s="1" t="n"/>
      <c r="BL67" s="1" t="n"/>
      <c r="BM67" s="1" t="n"/>
      <c r="BN67" s="1" t="n"/>
      <c r="BO67" s="1" t="n"/>
      <c r="BP67" s="1" t="n"/>
      <c r="BQ67" s="1" t="n"/>
      <c r="BR67" s="1" t="n"/>
      <c r="BS67" s="1" t="n"/>
      <c r="BT67" s="1" t="n"/>
      <c r="BU67" s="1" t="n"/>
      <c r="BV67" s="1" t="n"/>
      <c r="BW67" s="1" t="n"/>
      <c r="BX67" s="1" t="n"/>
      <c r="BY67" s="1" t="n"/>
      <c r="BZ67" s="1" t="n"/>
      <c r="CA67" s="1" t="n"/>
      <c r="CB67" s="1" t="n"/>
      <c r="CC67" s="1" t="n"/>
      <c r="CD67" s="1" t="n"/>
      <c r="CE67" s="1" t="n"/>
      <c r="CF67" s="1" t="n"/>
      <c r="CG67" s="1" t="n"/>
      <c r="CH67" s="1" t="n"/>
      <c r="CI67" s="1" t="n"/>
      <c r="CJ67" s="1" t="n"/>
      <c r="CK67" s="1" t="n"/>
      <c r="CL67" s="1" t="n"/>
      <c r="CM67" s="1" t="n"/>
      <c r="CN67" s="1" t="n"/>
      <c r="CO67" s="1" t="n"/>
      <c r="CP67" s="1" t="n"/>
      <c r="CQ67" s="1" t="n"/>
      <c r="CR67" s="1" t="n"/>
      <c r="CS67" s="1" t="n"/>
      <c r="CT67" s="1" t="n"/>
      <c r="CU67" s="1" t="n"/>
      <c r="CV67" s="1" t="n"/>
      <c r="CW67" s="1" t="n"/>
      <c r="CX67" s="1" t="n"/>
      <c r="CY67" s="1" t="n"/>
      <c r="CZ67" s="1" t="n"/>
    </row>
    <row r="68" hidden="1">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c r="AW68" s="1" t="n"/>
      <c r="AX68" s="1" t="n"/>
      <c r="AY68" s="1" t="n"/>
      <c r="AZ68" s="1" t="n"/>
      <c r="BA68" s="1" t="n"/>
      <c r="BB68" s="1" t="n"/>
      <c r="BC68" s="1" t="n"/>
      <c r="BD68" s="1" t="n"/>
      <c r="BE68" s="1" t="n"/>
      <c r="BF68" s="1" t="n"/>
      <c r="BG68" s="1" t="n"/>
      <c r="BH68" s="1" t="n"/>
      <c r="BI68" s="1" t="n"/>
      <c r="BJ68" s="1" t="n"/>
      <c r="BK68" s="1" t="n"/>
      <c r="BL68" s="1" t="n"/>
      <c r="BM68" s="1" t="n"/>
      <c r="BN68" s="1" t="n"/>
      <c r="BO68" s="1" t="n"/>
      <c r="BP68" s="1" t="n"/>
      <c r="BQ68" s="1" t="n"/>
      <c r="BR68" s="1" t="n"/>
      <c r="BS68" s="1" t="n"/>
      <c r="BT68" s="1" t="n"/>
      <c r="BU68" s="1" t="n"/>
      <c r="BV68" s="1" t="n"/>
      <c r="BW68" s="1" t="n"/>
      <c r="BX68" s="1" t="n"/>
      <c r="BY68" s="1" t="n"/>
      <c r="BZ68" s="1" t="n"/>
      <c r="CA68" s="1" t="n"/>
      <c r="CB68" s="1" t="n"/>
      <c r="CC68" s="1" t="n"/>
      <c r="CD68" s="1" t="n"/>
      <c r="CE68" s="1" t="n"/>
      <c r="CF68" s="1" t="n"/>
      <c r="CG68" s="1" t="n"/>
      <c r="CH68" s="1" t="n"/>
      <c r="CI68" s="1" t="n"/>
      <c r="CJ68" s="1" t="n"/>
      <c r="CK68" s="1" t="n"/>
      <c r="CL68" s="1" t="n"/>
      <c r="CM68" s="1" t="n"/>
      <c r="CN68" s="1" t="n"/>
      <c r="CO68" s="1" t="n"/>
      <c r="CP68" s="1" t="n"/>
      <c r="CQ68" s="1" t="n"/>
      <c r="CR68" s="1" t="n"/>
      <c r="CS68" s="1" t="n"/>
      <c r="CT68" s="1" t="n"/>
      <c r="CU68" s="1" t="n"/>
      <c r="CV68" s="1" t="n"/>
      <c r="CW68" s="1" t="n"/>
      <c r="CX68" s="1" t="n"/>
      <c r="CY68" s="1" t="n"/>
      <c r="CZ68" s="1" t="n"/>
    </row>
    <row r="69" hidden="1">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c r="AW69" s="1" t="n"/>
      <c r="AX69" s="1" t="n"/>
      <c r="AY69" s="1" t="n"/>
      <c r="AZ69" s="1" t="n"/>
      <c r="BA69" s="1" t="n"/>
      <c r="BB69" s="1" t="n"/>
      <c r="BC69" s="1" t="n"/>
      <c r="BD69" s="1" t="n"/>
      <c r="BE69" s="1" t="n"/>
      <c r="BF69" s="1" t="n"/>
      <c r="BG69" s="1" t="n"/>
      <c r="BH69" s="1" t="n"/>
      <c r="BI69" s="1" t="n"/>
      <c r="BJ69" s="1" t="n"/>
      <c r="BK69" s="1" t="n"/>
      <c r="BL69" s="1" t="n"/>
      <c r="BM69" s="1" t="n"/>
      <c r="BN69" s="1" t="n"/>
      <c r="BO69" s="1" t="n"/>
      <c r="BP69" s="1" t="n"/>
      <c r="BQ69" s="1" t="n"/>
      <c r="BR69" s="1" t="n"/>
      <c r="BS69" s="1" t="n"/>
      <c r="BT69" s="1" t="n"/>
      <c r="BU69" s="1" t="n"/>
      <c r="BV69" s="1" t="n"/>
      <c r="BW69" s="1" t="n"/>
      <c r="BX69" s="1" t="n"/>
      <c r="BY69" s="1" t="n"/>
      <c r="BZ69" s="1" t="n"/>
      <c r="CA69" s="1" t="n"/>
      <c r="CB69" s="1" t="n"/>
      <c r="CC69" s="1" t="n"/>
      <c r="CD69" s="1" t="n"/>
      <c r="CE69" s="1" t="n"/>
      <c r="CF69" s="1" t="n"/>
      <c r="CG69" s="1" t="n"/>
      <c r="CH69" s="1" t="n"/>
      <c r="CI69" s="1" t="n"/>
      <c r="CJ69" s="1" t="n"/>
      <c r="CK69" s="1" t="n"/>
      <c r="CL69" s="1" t="n"/>
      <c r="CM69" s="1" t="n"/>
      <c r="CN69" s="1" t="n"/>
      <c r="CO69" s="1" t="n"/>
      <c r="CP69" s="1" t="n"/>
      <c r="CQ69" s="1" t="n"/>
      <c r="CR69" s="1" t="n"/>
      <c r="CS69" s="1" t="n"/>
      <c r="CT69" s="1" t="n"/>
      <c r="CU69" s="1" t="n"/>
      <c r="CV69" s="1" t="n"/>
      <c r="CW69" s="1" t="n"/>
      <c r="CX69" s="1" t="n"/>
      <c r="CY69" s="1" t="n"/>
      <c r="CZ69" s="1" t="n"/>
    </row>
    <row r="70" hidden="1">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c r="AW70" s="1" t="n"/>
      <c r="AX70" s="1" t="n"/>
      <c r="AY70" s="1" t="n"/>
      <c r="AZ70" s="1" t="n"/>
      <c r="BA70" s="1" t="n"/>
      <c r="BB70" s="1" t="n"/>
      <c r="BC70" s="1" t="n"/>
      <c r="BD70" s="1" t="n"/>
      <c r="BE70" s="1" t="n"/>
      <c r="BF70" s="1" t="n"/>
      <c r="BG70" s="1" t="n"/>
      <c r="BH70" s="1" t="n"/>
      <c r="BI70" s="1" t="n"/>
      <c r="BJ70" s="1" t="n"/>
      <c r="BK70" s="1" t="n"/>
      <c r="BL70" s="1" t="n"/>
      <c r="BM70" s="1" t="n"/>
      <c r="BN70" s="1" t="n"/>
      <c r="BO70" s="1" t="n"/>
      <c r="BP70" s="1" t="n"/>
      <c r="BQ70" s="1" t="n"/>
      <c r="BR70" s="1" t="n"/>
      <c r="BS70" s="1" t="n"/>
      <c r="BT70" s="1" t="n"/>
      <c r="BU70" s="1" t="n"/>
      <c r="BV70" s="1" t="n"/>
      <c r="BW70" s="1" t="n"/>
      <c r="BX70" s="1" t="n"/>
      <c r="BY70" s="1" t="n"/>
      <c r="BZ70" s="1" t="n"/>
      <c r="CA70" s="1" t="n"/>
      <c r="CB70" s="1" t="n"/>
      <c r="CC70" s="1" t="n"/>
      <c r="CD70" s="1" t="n"/>
      <c r="CE70" s="1" t="n"/>
      <c r="CF70" s="1" t="n"/>
      <c r="CG70" s="1" t="n"/>
      <c r="CH70" s="1" t="n"/>
      <c r="CI70" s="1" t="n"/>
      <c r="CJ70" s="1" t="n"/>
      <c r="CK70" s="1" t="n"/>
      <c r="CL70" s="1" t="n"/>
      <c r="CM70" s="1" t="n"/>
      <c r="CN70" s="1" t="n"/>
      <c r="CO70" s="1" t="n"/>
      <c r="CP70" s="1" t="n"/>
      <c r="CQ70" s="1" t="n"/>
      <c r="CR70" s="1" t="n"/>
      <c r="CS70" s="1" t="n"/>
      <c r="CT70" s="1" t="n"/>
      <c r="CU70" s="1" t="n"/>
      <c r="CV70" s="1" t="n"/>
      <c r="CW70" s="1" t="n"/>
      <c r="CX70" s="1" t="n"/>
      <c r="CY70" s="1" t="n"/>
      <c r="CZ70" s="1" t="n"/>
    </row>
    <row r="71" hidden="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c r="AW71" s="1" t="n"/>
      <c r="AX71" s="1" t="n"/>
      <c r="AY71" s="1" t="n"/>
      <c r="AZ71" s="1" t="n"/>
      <c r="BA71" s="1" t="n"/>
      <c r="BB71" s="1" t="n"/>
      <c r="BC71" s="1" t="n"/>
      <c r="BD71" s="1" t="n"/>
      <c r="BE71" s="1" t="n"/>
      <c r="BF71" s="1" t="n"/>
      <c r="BG71" s="1" t="n"/>
      <c r="BH71" s="1" t="n"/>
      <c r="BI71" s="1" t="n"/>
      <c r="BJ71" s="1" t="n"/>
      <c r="BK71" s="1" t="n"/>
      <c r="BL71" s="1" t="n"/>
      <c r="BM71" s="1" t="n"/>
      <c r="BN71" s="1" t="n"/>
      <c r="BO71" s="1" t="n"/>
      <c r="BP71" s="1" t="n"/>
      <c r="BQ71" s="1" t="n"/>
      <c r="BR71" s="1" t="n"/>
      <c r="BS71" s="1" t="n"/>
      <c r="BT71" s="1" t="n"/>
      <c r="BU71" s="1" t="n"/>
      <c r="BV71" s="1" t="n"/>
      <c r="BW71" s="1" t="n"/>
      <c r="BX71" s="1" t="n"/>
      <c r="BY71" s="1" t="n"/>
      <c r="BZ71" s="1" t="n"/>
      <c r="CA71" s="1" t="n"/>
      <c r="CB71" s="1" t="n"/>
      <c r="CC71" s="1" t="n"/>
      <c r="CD71" s="1" t="n"/>
      <c r="CE71" s="1" t="n"/>
      <c r="CF71" s="1" t="n"/>
      <c r="CG71" s="1" t="n"/>
      <c r="CH71" s="1" t="n"/>
      <c r="CI71" s="1" t="n"/>
      <c r="CJ71" s="1" t="n"/>
      <c r="CK71" s="1" t="n"/>
      <c r="CL71" s="1" t="n"/>
      <c r="CM71" s="1" t="n"/>
      <c r="CN71" s="1" t="n"/>
      <c r="CO71" s="1" t="n"/>
      <c r="CP71" s="1" t="n"/>
      <c r="CQ71" s="1" t="n"/>
      <c r="CR71" s="1" t="n"/>
      <c r="CS71" s="1" t="n"/>
      <c r="CT71" s="1" t="n"/>
      <c r="CU71" s="1" t="n"/>
      <c r="CV71" s="1" t="n"/>
      <c r="CW71" s="1" t="n"/>
      <c r="CX71" s="1" t="n"/>
      <c r="CY71" s="1" t="n"/>
      <c r="CZ71" s="1" t="n"/>
    </row>
    <row r="72" hidden="1">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c r="AW72" s="1" t="n"/>
      <c r="AX72" s="1" t="n"/>
      <c r="AY72" s="1" t="n"/>
      <c r="AZ72" s="1" t="n"/>
      <c r="BA72" s="1" t="n"/>
      <c r="BB72" s="1" t="n"/>
      <c r="BC72" s="1" t="n"/>
      <c r="BD72" s="1" t="n"/>
      <c r="BE72" s="1" t="n"/>
      <c r="BF72" s="1" t="n"/>
      <c r="BG72" s="1" t="n"/>
      <c r="BH72" s="1" t="n"/>
      <c r="BI72" s="1" t="n"/>
      <c r="BJ72" s="1" t="n"/>
      <c r="BK72" s="1" t="n"/>
      <c r="BL72" s="1" t="n"/>
      <c r="BM72" s="1" t="n"/>
      <c r="BN72" s="1" t="n"/>
      <c r="BO72" s="1" t="n"/>
      <c r="BP72" s="1" t="n"/>
      <c r="BQ72" s="1" t="n"/>
      <c r="BR72" s="1" t="n"/>
      <c r="BS72" s="1" t="n"/>
      <c r="BT72" s="1" t="n"/>
      <c r="BU72" s="1" t="n"/>
      <c r="BV72" s="1" t="n"/>
      <c r="BW72" s="1" t="n"/>
      <c r="BX72" s="1" t="n"/>
      <c r="BY72" s="1" t="n"/>
      <c r="BZ72" s="1" t="n"/>
      <c r="CA72" s="1" t="n"/>
      <c r="CB72" s="1" t="n"/>
      <c r="CC72" s="1" t="n"/>
      <c r="CD72" s="1" t="n"/>
      <c r="CE72" s="1" t="n"/>
      <c r="CF72" s="1" t="n"/>
      <c r="CG72" s="1" t="n"/>
      <c r="CH72" s="1" t="n"/>
      <c r="CI72" s="1" t="n"/>
      <c r="CJ72" s="1" t="n"/>
      <c r="CK72" s="1" t="n"/>
      <c r="CL72" s="1" t="n"/>
      <c r="CM72" s="1" t="n"/>
      <c r="CN72" s="1" t="n"/>
      <c r="CO72" s="1" t="n"/>
      <c r="CP72" s="1" t="n"/>
      <c r="CQ72" s="1" t="n"/>
      <c r="CR72" s="1" t="n"/>
      <c r="CS72" s="1" t="n"/>
      <c r="CT72" s="1" t="n"/>
      <c r="CU72" s="1" t="n"/>
      <c r="CV72" s="1" t="n"/>
      <c r="CW72" s="1" t="n"/>
      <c r="CX72" s="1" t="n"/>
      <c r="CY72" s="1" t="n"/>
      <c r="CZ72" s="1" t="n"/>
    </row>
    <row r="73" hidden="1">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c r="AW73" s="1" t="n"/>
      <c r="AX73" s="1" t="n"/>
      <c r="AY73" s="1" t="n"/>
      <c r="AZ73" s="1" t="n"/>
      <c r="BA73" s="1" t="n"/>
      <c r="BB73" s="1" t="n"/>
      <c r="BC73" s="1" t="n"/>
      <c r="BD73" s="1" t="n"/>
      <c r="BE73" s="1" t="n"/>
      <c r="BF73" s="1" t="n"/>
      <c r="BG73" s="1" t="n"/>
      <c r="BH73" s="1" t="n"/>
      <c r="BI73" s="1" t="n"/>
      <c r="BJ73" s="1" t="n"/>
      <c r="BK73" s="1" t="n"/>
      <c r="BL73" s="1" t="n"/>
      <c r="BM73" s="1" t="n"/>
      <c r="BN73" s="1" t="n"/>
      <c r="BO73" s="1" t="n"/>
      <c r="BP73" s="1" t="n"/>
      <c r="BQ73" s="1" t="n"/>
      <c r="BR73" s="1" t="n"/>
      <c r="BS73" s="1" t="n"/>
      <c r="BT73" s="1" t="n"/>
      <c r="BU73" s="1" t="n"/>
      <c r="BV73" s="1" t="n"/>
      <c r="BW73" s="1" t="n"/>
      <c r="BX73" s="1" t="n"/>
      <c r="BY73" s="1" t="n"/>
      <c r="BZ73" s="1" t="n"/>
      <c r="CA73" s="1" t="n"/>
      <c r="CB73" s="1" t="n"/>
      <c r="CC73" s="1" t="n"/>
      <c r="CD73" s="1" t="n"/>
      <c r="CE73" s="1" t="n"/>
      <c r="CF73" s="1" t="n"/>
      <c r="CG73" s="1" t="n"/>
      <c r="CH73" s="1" t="n"/>
      <c r="CI73" s="1" t="n"/>
      <c r="CJ73" s="1" t="n"/>
      <c r="CK73" s="1" t="n"/>
      <c r="CL73" s="1" t="n"/>
      <c r="CM73" s="1" t="n"/>
      <c r="CN73" s="1" t="n"/>
      <c r="CO73" s="1" t="n"/>
      <c r="CP73" s="1" t="n"/>
      <c r="CQ73" s="1" t="n"/>
      <c r="CR73" s="1" t="n"/>
      <c r="CS73" s="1" t="n"/>
      <c r="CT73" s="1" t="n"/>
      <c r="CU73" s="1" t="n"/>
      <c r="CV73" s="1" t="n"/>
      <c r="CW73" s="1" t="n"/>
      <c r="CX73" s="1" t="n"/>
      <c r="CY73" s="1" t="n"/>
      <c r="CZ73" s="1" t="n"/>
    </row>
    <row r="74" hidden="1">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c r="AW74" s="1" t="n"/>
      <c r="AX74" s="1" t="n"/>
      <c r="AY74" s="1" t="n"/>
      <c r="AZ74" s="1" t="n"/>
      <c r="BA74" s="1" t="n"/>
      <c r="BB74" s="1" t="n"/>
      <c r="BC74" s="1" t="n"/>
      <c r="BD74" s="1" t="n"/>
      <c r="BE74" s="1" t="n"/>
      <c r="BF74" s="1" t="n"/>
      <c r="BG74" s="1" t="n"/>
      <c r="BH74" s="1" t="n"/>
      <c r="BI74" s="1" t="n"/>
      <c r="BJ74" s="1" t="n"/>
      <c r="BK74" s="1" t="n"/>
      <c r="BL74" s="1" t="n"/>
      <c r="BM74" s="1" t="n"/>
      <c r="BN74" s="1" t="n"/>
      <c r="BO74" s="1" t="n"/>
      <c r="BP74" s="1" t="n"/>
      <c r="BQ74" s="1" t="n"/>
      <c r="BR74" s="1" t="n"/>
      <c r="BS74" s="1" t="n"/>
      <c r="BT74" s="1" t="n"/>
      <c r="BU74" s="1" t="n"/>
      <c r="BV74" s="1" t="n"/>
      <c r="BW74" s="1" t="n"/>
      <c r="BX74" s="1" t="n"/>
      <c r="BY74" s="1" t="n"/>
      <c r="BZ74" s="1" t="n"/>
      <c r="CA74" s="1" t="n"/>
      <c r="CB74" s="1" t="n"/>
      <c r="CC74" s="1" t="n"/>
      <c r="CD74" s="1" t="n"/>
      <c r="CE74" s="1" t="n"/>
      <c r="CF74" s="1" t="n"/>
      <c r="CG74" s="1" t="n"/>
      <c r="CH74" s="1" t="n"/>
      <c r="CI74" s="1" t="n"/>
      <c r="CJ74" s="1" t="n"/>
      <c r="CK74" s="1" t="n"/>
      <c r="CL74" s="1" t="n"/>
      <c r="CM74" s="1" t="n"/>
      <c r="CN74" s="1" t="n"/>
      <c r="CO74" s="1" t="n"/>
      <c r="CP74" s="1" t="n"/>
      <c r="CQ74" s="1" t="n"/>
      <c r="CR74" s="1" t="n"/>
      <c r="CS74" s="1" t="n"/>
      <c r="CT74" s="1" t="n"/>
      <c r="CU74" s="1" t="n"/>
      <c r="CV74" s="1" t="n"/>
      <c r="CW74" s="1" t="n"/>
      <c r="CX74" s="1" t="n"/>
      <c r="CY74" s="1" t="n"/>
      <c r="CZ74" s="1" t="n"/>
    </row>
    <row r="75" hidden="1">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c r="AW75" s="1" t="n"/>
      <c r="AX75" s="1" t="n"/>
      <c r="AY75" s="1" t="n"/>
      <c r="AZ75" s="1" t="n"/>
      <c r="BA75" s="1" t="n"/>
      <c r="BB75" s="1" t="n"/>
      <c r="BC75" s="1" t="n"/>
      <c r="BD75" s="1" t="n"/>
      <c r="BE75" s="1" t="n"/>
      <c r="BF75" s="1" t="n"/>
      <c r="BG75" s="1" t="n"/>
      <c r="BH75" s="1" t="n"/>
      <c r="BI75" s="1" t="n"/>
      <c r="BJ75" s="1" t="n"/>
      <c r="BK75" s="1" t="n"/>
      <c r="BL75" s="1" t="n"/>
      <c r="BM75" s="1" t="n"/>
      <c r="BN75" s="1" t="n"/>
      <c r="BO75" s="1" t="n"/>
      <c r="BP75" s="1" t="n"/>
      <c r="BQ75" s="1" t="n"/>
      <c r="BR75" s="1" t="n"/>
      <c r="BS75" s="1" t="n"/>
      <c r="BT75" s="1" t="n"/>
      <c r="BU75" s="1" t="n"/>
      <c r="BV75" s="1" t="n"/>
      <c r="BW75" s="1" t="n"/>
      <c r="BX75" s="1" t="n"/>
      <c r="BY75" s="1" t="n"/>
      <c r="BZ75" s="1" t="n"/>
      <c r="CA75" s="1" t="n"/>
      <c r="CB75" s="1" t="n"/>
      <c r="CC75" s="1" t="n"/>
      <c r="CD75" s="1" t="n"/>
      <c r="CE75" s="1" t="n"/>
      <c r="CF75" s="1" t="n"/>
      <c r="CG75" s="1" t="n"/>
      <c r="CH75" s="1" t="n"/>
      <c r="CI75" s="1" t="n"/>
      <c r="CJ75" s="1" t="n"/>
      <c r="CK75" s="1" t="n"/>
      <c r="CL75" s="1" t="n"/>
      <c r="CM75" s="1" t="n"/>
      <c r="CN75" s="1" t="n"/>
      <c r="CO75" s="1" t="n"/>
      <c r="CP75" s="1" t="n"/>
      <c r="CQ75" s="1" t="n"/>
      <c r="CR75" s="1" t="n"/>
      <c r="CS75" s="1" t="n"/>
      <c r="CT75" s="1" t="n"/>
      <c r="CU75" s="1" t="n"/>
      <c r="CV75" s="1" t="n"/>
      <c r="CW75" s="1" t="n"/>
      <c r="CX75" s="1" t="n"/>
      <c r="CY75" s="1" t="n"/>
      <c r="CZ75" s="1" t="n"/>
    </row>
    <row r="76" hidden="1">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c r="AW76" s="1" t="n"/>
      <c r="AX76" s="1" t="n"/>
      <c r="AY76" s="1" t="n"/>
      <c r="AZ76" s="1" t="n"/>
      <c r="BA76" s="1" t="n"/>
      <c r="BB76" s="1" t="n"/>
      <c r="BC76" s="1" t="n"/>
      <c r="BD76" s="1" t="n"/>
      <c r="BE76" s="1" t="n"/>
      <c r="BF76" s="1" t="n"/>
      <c r="BG76" s="1" t="n"/>
      <c r="BH76" s="1" t="n"/>
      <c r="BI76" s="1" t="n"/>
      <c r="BJ76" s="1" t="n"/>
      <c r="BK76" s="1" t="n"/>
      <c r="BL76" s="1" t="n"/>
      <c r="BM76" s="1" t="n"/>
      <c r="BN76" s="1" t="n"/>
      <c r="BO76" s="1" t="n"/>
      <c r="BP76" s="1" t="n"/>
      <c r="BQ76" s="1" t="n"/>
      <c r="BR76" s="1" t="n"/>
      <c r="BS76" s="1" t="n"/>
      <c r="BT76" s="1" t="n"/>
      <c r="BU76" s="1" t="n"/>
      <c r="BV76" s="1" t="n"/>
      <c r="BW76" s="1" t="n"/>
      <c r="BX76" s="1" t="n"/>
      <c r="BY76" s="1" t="n"/>
      <c r="BZ76" s="1" t="n"/>
      <c r="CA76" s="1" t="n"/>
      <c r="CB76" s="1" t="n"/>
      <c r="CC76" s="1" t="n"/>
      <c r="CD76" s="1" t="n"/>
      <c r="CE76" s="1" t="n"/>
      <c r="CF76" s="1" t="n"/>
      <c r="CG76" s="1" t="n"/>
      <c r="CH76" s="1" t="n"/>
      <c r="CI76" s="1" t="n"/>
      <c r="CJ76" s="1" t="n"/>
      <c r="CK76" s="1" t="n"/>
      <c r="CL76" s="1" t="n"/>
      <c r="CM76" s="1" t="n"/>
      <c r="CN76" s="1" t="n"/>
      <c r="CO76" s="1" t="n"/>
      <c r="CP76" s="1" t="n"/>
      <c r="CQ76" s="1" t="n"/>
      <c r="CR76" s="1" t="n"/>
      <c r="CS76" s="1" t="n"/>
      <c r="CT76" s="1" t="n"/>
      <c r="CU76" s="1" t="n"/>
      <c r="CV76" s="1" t="n"/>
      <c r="CW76" s="1" t="n"/>
      <c r="CX76" s="1" t="n"/>
      <c r="CY76" s="1" t="n"/>
      <c r="CZ76" s="1" t="n"/>
    </row>
    <row r="77" hidden="1">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c r="AW77" s="1" t="n"/>
      <c r="AX77" s="1" t="n"/>
      <c r="AY77" s="1" t="n"/>
      <c r="AZ77" s="1" t="n"/>
      <c r="BA77" s="1" t="n"/>
      <c r="BB77" s="1" t="n"/>
      <c r="BC77" s="1" t="n"/>
      <c r="BD77" s="1" t="n"/>
      <c r="BE77" s="1" t="n"/>
      <c r="BF77" s="1" t="n"/>
      <c r="BG77" s="1" t="n"/>
      <c r="BH77" s="1" t="n"/>
      <c r="BI77" s="1" t="n"/>
      <c r="BJ77" s="1" t="n"/>
      <c r="BK77" s="1" t="n"/>
      <c r="BL77" s="1" t="n"/>
      <c r="BM77" s="1" t="n"/>
      <c r="BN77" s="1" t="n"/>
      <c r="BO77" s="1" t="n"/>
      <c r="BP77" s="1" t="n"/>
      <c r="BQ77" s="1" t="n"/>
      <c r="BR77" s="1" t="n"/>
      <c r="BS77" s="1" t="n"/>
      <c r="BT77" s="1" t="n"/>
      <c r="BU77" s="1" t="n"/>
      <c r="BV77" s="1" t="n"/>
      <c r="BW77" s="1" t="n"/>
      <c r="BX77" s="1" t="n"/>
      <c r="BY77" s="1" t="n"/>
      <c r="BZ77" s="1" t="n"/>
      <c r="CA77" s="1" t="n"/>
      <c r="CB77" s="1" t="n"/>
      <c r="CC77" s="1" t="n"/>
      <c r="CD77" s="1" t="n"/>
      <c r="CE77" s="1" t="n"/>
      <c r="CF77" s="1" t="n"/>
      <c r="CG77" s="1" t="n"/>
      <c r="CH77" s="1" t="n"/>
      <c r="CI77" s="1" t="n"/>
      <c r="CJ77" s="1" t="n"/>
      <c r="CK77" s="1" t="n"/>
      <c r="CL77" s="1" t="n"/>
      <c r="CM77" s="1" t="n"/>
      <c r="CN77" s="1" t="n"/>
      <c r="CO77" s="1" t="n"/>
      <c r="CP77" s="1" t="n"/>
      <c r="CQ77" s="1" t="n"/>
      <c r="CR77" s="1" t="n"/>
      <c r="CS77" s="1" t="n"/>
      <c r="CT77" s="1" t="n"/>
      <c r="CU77" s="1" t="n"/>
      <c r="CV77" s="1" t="n"/>
      <c r="CW77" s="1" t="n"/>
      <c r="CX77" s="1" t="n"/>
      <c r="CY77" s="1" t="n"/>
      <c r="CZ77" s="1" t="n"/>
    </row>
    <row r="78" hidden="1">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c r="AW78" s="1" t="n"/>
      <c r="AX78" s="1" t="n"/>
      <c r="AY78" s="1" t="n"/>
      <c r="AZ78" s="1" t="n"/>
      <c r="BA78" s="1" t="n"/>
      <c r="BB78" s="1" t="n"/>
      <c r="BC78" s="1" t="n"/>
      <c r="BD78" s="1" t="n"/>
      <c r="BE78" s="1" t="n"/>
      <c r="BF78" s="1" t="n"/>
      <c r="BG78" s="1" t="n"/>
      <c r="BH78" s="1" t="n"/>
      <c r="BI78" s="1" t="n"/>
      <c r="BJ78" s="1" t="n"/>
      <c r="BK78" s="1" t="n"/>
      <c r="BL78" s="1" t="n"/>
      <c r="BM78" s="1" t="n"/>
      <c r="BN78" s="1" t="n"/>
      <c r="BO78" s="1" t="n"/>
      <c r="BP78" s="1" t="n"/>
      <c r="BQ78" s="1" t="n"/>
      <c r="BR78" s="1" t="n"/>
      <c r="BS78" s="1" t="n"/>
      <c r="BT78" s="1" t="n"/>
      <c r="BU78" s="1" t="n"/>
      <c r="BV78" s="1" t="n"/>
      <c r="BW78" s="1" t="n"/>
      <c r="BX78" s="1" t="n"/>
      <c r="BY78" s="1" t="n"/>
      <c r="BZ78" s="1" t="n"/>
      <c r="CA78" s="1" t="n"/>
      <c r="CB78" s="1" t="n"/>
      <c r="CC78" s="1" t="n"/>
      <c r="CD78" s="1" t="n"/>
      <c r="CE78" s="1" t="n"/>
      <c r="CF78" s="1" t="n"/>
      <c r="CG78" s="1" t="n"/>
      <c r="CH78" s="1" t="n"/>
      <c r="CI78" s="1" t="n"/>
      <c r="CJ78" s="1" t="n"/>
      <c r="CK78" s="1" t="n"/>
      <c r="CL78" s="1" t="n"/>
      <c r="CM78" s="1" t="n"/>
      <c r="CN78" s="1" t="n"/>
      <c r="CO78" s="1" t="n"/>
      <c r="CP78" s="1" t="n"/>
      <c r="CQ78" s="1" t="n"/>
      <c r="CR78" s="1" t="n"/>
      <c r="CS78" s="1" t="n"/>
      <c r="CT78" s="1" t="n"/>
      <c r="CU78" s="1" t="n"/>
      <c r="CV78" s="1" t="n"/>
      <c r="CW78" s="1" t="n"/>
      <c r="CX78" s="1" t="n"/>
      <c r="CY78" s="1" t="n"/>
      <c r="CZ78" s="1" t="n"/>
    </row>
    <row r="79" hidden="1">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c r="AW79" s="1" t="n"/>
      <c r="AX79" s="1" t="n"/>
      <c r="AY79" s="1" t="n"/>
      <c r="AZ79" s="1" t="n"/>
      <c r="BA79" s="1" t="n"/>
      <c r="BB79" s="1" t="n"/>
      <c r="BC79" s="1" t="n"/>
      <c r="BD79" s="1" t="n"/>
      <c r="BE79" s="1" t="n"/>
      <c r="BF79" s="1" t="n"/>
      <c r="BG79" s="1" t="n"/>
      <c r="BH79" s="1" t="n"/>
      <c r="BI79" s="1" t="n"/>
      <c r="BJ79" s="1" t="n"/>
      <c r="BK79" s="1" t="n"/>
      <c r="BL79" s="1" t="n"/>
      <c r="BM79" s="1" t="n"/>
      <c r="BN79" s="1" t="n"/>
      <c r="BO79" s="1" t="n"/>
      <c r="BP79" s="1" t="n"/>
      <c r="BQ79" s="1" t="n"/>
      <c r="BR79" s="1" t="n"/>
      <c r="BS79" s="1" t="n"/>
      <c r="BT79" s="1" t="n"/>
      <c r="BU79" s="1" t="n"/>
      <c r="BV79" s="1" t="n"/>
      <c r="BW79" s="1" t="n"/>
      <c r="BX79" s="1" t="n"/>
      <c r="BY79" s="1" t="n"/>
      <c r="BZ79" s="1" t="n"/>
      <c r="CA79" s="1" t="n"/>
      <c r="CB79" s="1" t="n"/>
      <c r="CC79" s="1" t="n"/>
      <c r="CD79" s="1" t="n"/>
      <c r="CE79" s="1" t="n"/>
      <c r="CF79" s="1" t="n"/>
      <c r="CG79" s="1" t="n"/>
      <c r="CH79" s="1" t="n"/>
      <c r="CI79" s="1" t="n"/>
      <c r="CJ79" s="1" t="n"/>
      <c r="CK79" s="1" t="n"/>
      <c r="CL79" s="1" t="n"/>
      <c r="CM79" s="1" t="n"/>
      <c r="CN79" s="1" t="n"/>
      <c r="CO79" s="1" t="n"/>
      <c r="CP79" s="1" t="n"/>
      <c r="CQ79" s="1" t="n"/>
      <c r="CR79" s="1" t="n"/>
      <c r="CS79" s="1" t="n"/>
      <c r="CT79" s="1" t="n"/>
      <c r="CU79" s="1" t="n"/>
      <c r="CV79" s="1" t="n"/>
      <c r="CW79" s="1" t="n"/>
      <c r="CX79" s="1" t="n"/>
      <c r="CY79" s="1" t="n"/>
      <c r="CZ79" s="1" t="n"/>
    </row>
    <row r="80" hidden="1">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c r="AW80" s="1" t="n"/>
      <c r="AX80" s="1" t="n"/>
      <c r="AY80" s="1" t="n"/>
      <c r="AZ80" s="1" t="n"/>
      <c r="BA80" s="1" t="n"/>
      <c r="BB80" s="1" t="n"/>
      <c r="BC80" s="1" t="n"/>
      <c r="BD80" s="1" t="n"/>
      <c r="BE80" s="1" t="n"/>
      <c r="BF80" s="1" t="n"/>
      <c r="BG80" s="1" t="n"/>
      <c r="BH80" s="1" t="n"/>
      <c r="BI80" s="1" t="n"/>
      <c r="BJ80" s="1" t="n"/>
      <c r="BK80" s="1" t="n"/>
      <c r="BL80" s="1" t="n"/>
      <c r="BM80" s="1" t="n"/>
      <c r="BN80" s="1" t="n"/>
      <c r="BO80" s="1" t="n"/>
      <c r="BP80" s="1" t="n"/>
      <c r="BQ80" s="1" t="n"/>
      <c r="BR80" s="1" t="n"/>
      <c r="BS80" s="1" t="n"/>
      <c r="BT80" s="1" t="n"/>
      <c r="BU80" s="1" t="n"/>
      <c r="BV80" s="1" t="n"/>
      <c r="BW80" s="1" t="n"/>
      <c r="BX80" s="1" t="n"/>
      <c r="BY80" s="1" t="n"/>
      <c r="BZ80" s="1" t="n"/>
      <c r="CA80" s="1" t="n"/>
      <c r="CB80" s="1" t="n"/>
      <c r="CC80" s="1" t="n"/>
      <c r="CD80" s="1" t="n"/>
      <c r="CE80" s="1" t="n"/>
      <c r="CF80" s="1" t="n"/>
      <c r="CG80" s="1" t="n"/>
      <c r="CH80" s="1" t="n"/>
      <c r="CI80" s="1" t="n"/>
      <c r="CJ80" s="1" t="n"/>
      <c r="CK80" s="1" t="n"/>
      <c r="CL80" s="1" t="n"/>
      <c r="CM80" s="1" t="n"/>
      <c r="CN80" s="1" t="n"/>
      <c r="CO80" s="1" t="n"/>
      <c r="CP80" s="1" t="n"/>
      <c r="CQ80" s="1" t="n"/>
      <c r="CR80" s="1" t="n"/>
      <c r="CS80" s="1" t="n"/>
      <c r="CT80" s="1" t="n"/>
      <c r="CU80" s="1" t="n"/>
      <c r="CV80" s="1" t="n"/>
      <c r="CW80" s="1" t="n"/>
      <c r="CX80" s="1" t="n"/>
      <c r="CY80" s="1" t="n"/>
      <c r="CZ80" s="1" t="n"/>
    </row>
    <row r="81" hidden="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c r="AW81" s="1" t="n"/>
      <c r="AX81" s="1" t="n"/>
      <c r="AY81" s="1" t="n"/>
      <c r="AZ81" s="1" t="n"/>
      <c r="BA81" s="1" t="n"/>
      <c r="BB81" s="1" t="n"/>
      <c r="BC81" s="1" t="n"/>
      <c r="BD81" s="1" t="n"/>
      <c r="BE81" s="1" t="n"/>
      <c r="BF81" s="1" t="n"/>
      <c r="BG81" s="1" t="n"/>
      <c r="BH81" s="1" t="n"/>
      <c r="BI81" s="1" t="n"/>
      <c r="BJ81" s="1" t="n"/>
      <c r="BK81" s="1" t="n"/>
      <c r="BL81" s="1" t="n"/>
      <c r="BM81" s="1" t="n"/>
      <c r="BN81" s="1" t="n"/>
      <c r="BO81" s="1" t="n"/>
      <c r="BP81" s="1" t="n"/>
      <c r="BQ81" s="1" t="n"/>
      <c r="BR81" s="1" t="n"/>
      <c r="BS81" s="1" t="n"/>
      <c r="BT81" s="1" t="n"/>
      <c r="BU81" s="1" t="n"/>
      <c r="BV81" s="1" t="n"/>
      <c r="BW81" s="1" t="n"/>
      <c r="BX81" s="1" t="n"/>
      <c r="BY81" s="1" t="n"/>
      <c r="BZ81" s="1" t="n"/>
      <c r="CA81" s="1" t="n"/>
      <c r="CB81" s="1" t="n"/>
      <c r="CC81" s="1" t="n"/>
      <c r="CD81" s="1" t="n"/>
      <c r="CE81" s="1" t="n"/>
      <c r="CF81" s="1" t="n"/>
      <c r="CG81" s="1" t="n"/>
      <c r="CH81" s="1" t="n"/>
      <c r="CI81" s="1" t="n"/>
      <c r="CJ81" s="1" t="n"/>
      <c r="CK81" s="1" t="n"/>
      <c r="CL81" s="1" t="n"/>
      <c r="CM81" s="1" t="n"/>
      <c r="CN81" s="1" t="n"/>
      <c r="CO81" s="1" t="n"/>
      <c r="CP81" s="1" t="n"/>
      <c r="CQ81" s="1" t="n"/>
      <c r="CR81" s="1" t="n"/>
      <c r="CS81" s="1" t="n"/>
      <c r="CT81" s="1" t="n"/>
      <c r="CU81" s="1" t="n"/>
      <c r="CV81" s="1" t="n"/>
      <c r="CW81" s="1" t="n"/>
      <c r="CX81" s="1" t="n"/>
      <c r="CY81" s="1" t="n"/>
      <c r="CZ81" s="1" t="n"/>
    </row>
    <row r="82" hidden="1">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c r="AW82" s="1" t="n"/>
      <c r="AX82" s="1" t="n"/>
      <c r="AY82" s="1" t="n"/>
      <c r="AZ82" s="1" t="n"/>
      <c r="BA82" s="1" t="n"/>
      <c r="BB82" s="1" t="n"/>
      <c r="BC82" s="1" t="n"/>
      <c r="BD82" s="1" t="n"/>
      <c r="BE82" s="1" t="n"/>
      <c r="BF82" s="1" t="n"/>
      <c r="BG82" s="1" t="n"/>
      <c r="BH82" s="1" t="n"/>
      <c r="BI82" s="1" t="n"/>
      <c r="BJ82" s="1" t="n"/>
      <c r="BK82" s="1" t="n"/>
      <c r="BL82" s="1" t="n"/>
      <c r="BM82" s="1" t="n"/>
      <c r="BN82" s="1" t="n"/>
      <c r="BO82" s="1" t="n"/>
      <c r="BP82" s="1" t="n"/>
      <c r="BQ82" s="1" t="n"/>
      <c r="BR82" s="1" t="n"/>
      <c r="BS82" s="1" t="n"/>
      <c r="BT82" s="1" t="n"/>
      <c r="BU82" s="1" t="n"/>
      <c r="BV82" s="1" t="n"/>
      <c r="BW82" s="1" t="n"/>
      <c r="BX82" s="1" t="n"/>
      <c r="BY82" s="1" t="n"/>
      <c r="BZ82" s="1" t="n"/>
      <c r="CA82" s="1" t="n"/>
      <c r="CB82" s="1" t="n"/>
      <c r="CC82" s="1" t="n"/>
      <c r="CD82" s="1" t="n"/>
      <c r="CE82" s="1" t="n"/>
      <c r="CF82" s="1" t="n"/>
      <c r="CG82" s="1" t="n"/>
      <c r="CH82" s="1" t="n"/>
      <c r="CI82" s="1" t="n"/>
      <c r="CJ82" s="1" t="n"/>
      <c r="CK82" s="1" t="n"/>
      <c r="CL82" s="1" t="n"/>
      <c r="CM82" s="1" t="n"/>
      <c r="CN82" s="1" t="n"/>
      <c r="CO82" s="1" t="n"/>
      <c r="CP82" s="1" t="n"/>
      <c r="CQ82" s="1" t="n"/>
      <c r="CR82" s="1" t="n"/>
      <c r="CS82" s="1" t="n"/>
      <c r="CT82" s="1" t="n"/>
      <c r="CU82" s="1" t="n"/>
      <c r="CV82" s="1" t="n"/>
      <c r="CW82" s="1" t="n"/>
      <c r="CX82" s="1" t="n"/>
      <c r="CY82" s="1" t="n"/>
      <c r="CZ82" s="1" t="n"/>
    </row>
    <row r="83" hidden="1">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c r="AW83" s="1" t="n"/>
      <c r="AX83" s="1" t="n"/>
      <c r="AY83" s="1" t="n"/>
      <c r="AZ83" s="1" t="n"/>
      <c r="BA83" s="1" t="n"/>
      <c r="BB83" s="1" t="n"/>
      <c r="BC83" s="1" t="n"/>
      <c r="BD83" s="1" t="n"/>
      <c r="BE83" s="1" t="n"/>
      <c r="BF83" s="1" t="n"/>
      <c r="BG83" s="1" t="n"/>
      <c r="BH83" s="1" t="n"/>
      <c r="BI83" s="1" t="n"/>
      <c r="BJ83" s="1" t="n"/>
      <c r="BK83" s="1" t="n"/>
      <c r="BL83" s="1" t="n"/>
      <c r="BM83" s="1" t="n"/>
      <c r="BN83" s="1" t="n"/>
      <c r="BO83" s="1" t="n"/>
      <c r="BP83" s="1" t="n"/>
      <c r="BQ83" s="1" t="n"/>
      <c r="BR83" s="1" t="n"/>
      <c r="BS83" s="1" t="n"/>
      <c r="BT83" s="1" t="n"/>
      <c r="BU83" s="1" t="n"/>
      <c r="BV83" s="1" t="n"/>
      <c r="BW83" s="1" t="n"/>
      <c r="BX83" s="1" t="n"/>
      <c r="BY83" s="1" t="n"/>
      <c r="BZ83" s="1" t="n"/>
      <c r="CA83" s="1" t="n"/>
      <c r="CB83" s="1" t="n"/>
      <c r="CC83" s="1" t="n"/>
      <c r="CD83" s="1" t="n"/>
      <c r="CE83" s="1" t="n"/>
      <c r="CF83" s="1" t="n"/>
      <c r="CG83" s="1" t="n"/>
      <c r="CH83" s="1" t="n"/>
      <c r="CI83" s="1" t="n"/>
      <c r="CJ83" s="1" t="n"/>
      <c r="CK83" s="1" t="n"/>
      <c r="CL83" s="1" t="n"/>
      <c r="CM83" s="1" t="n"/>
      <c r="CN83" s="1" t="n"/>
      <c r="CO83" s="1" t="n"/>
      <c r="CP83" s="1" t="n"/>
      <c r="CQ83" s="1" t="n"/>
      <c r="CR83" s="1" t="n"/>
      <c r="CS83" s="1" t="n"/>
      <c r="CT83" s="1" t="n"/>
      <c r="CU83" s="1" t="n"/>
      <c r="CV83" s="1" t="n"/>
      <c r="CW83" s="1" t="n"/>
      <c r="CX83" s="1" t="n"/>
      <c r="CY83" s="1" t="n"/>
      <c r="CZ83" s="1" t="n"/>
    </row>
    <row r="84" hidden="1">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c r="AW84" s="1" t="n"/>
      <c r="AX84" s="1" t="n"/>
      <c r="AY84" s="1" t="n"/>
      <c r="AZ84" s="1" t="n"/>
      <c r="BA84" s="1" t="n"/>
      <c r="BB84" s="1" t="n"/>
      <c r="BC84" s="1" t="n"/>
      <c r="BD84" s="1" t="n"/>
      <c r="BE84" s="1" t="n"/>
      <c r="BF84" s="1" t="n"/>
      <c r="BG84" s="1" t="n"/>
      <c r="BH84" s="1" t="n"/>
      <c r="BI84" s="1" t="n"/>
      <c r="BJ84" s="1" t="n"/>
      <c r="BK84" s="1" t="n"/>
      <c r="BL84" s="1" t="n"/>
      <c r="BM84" s="1" t="n"/>
      <c r="BN84" s="1" t="n"/>
      <c r="BO84" s="1" t="n"/>
      <c r="BP84" s="1" t="n"/>
      <c r="BQ84" s="1" t="n"/>
      <c r="BR84" s="1" t="n"/>
      <c r="BS84" s="1" t="n"/>
      <c r="BT84" s="1" t="n"/>
      <c r="BU84" s="1" t="n"/>
      <c r="BV84" s="1" t="n"/>
      <c r="BW84" s="1" t="n"/>
      <c r="BX84" s="1" t="n"/>
      <c r="BY84" s="1" t="n"/>
      <c r="BZ84" s="1" t="n"/>
      <c r="CA84" s="1" t="n"/>
      <c r="CB84" s="1" t="n"/>
      <c r="CC84" s="1" t="n"/>
      <c r="CD84" s="1" t="n"/>
      <c r="CE84" s="1" t="n"/>
      <c r="CF84" s="1" t="n"/>
      <c r="CG84" s="1" t="n"/>
      <c r="CH84" s="1" t="n"/>
      <c r="CI84" s="1" t="n"/>
      <c r="CJ84" s="1" t="n"/>
      <c r="CK84" s="1" t="n"/>
      <c r="CL84" s="1" t="n"/>
      <c r="CM84" s="1" t="n"/>
      <c r="CN84" s="1" t="n"/>
      <c r="CO84" s="1" t="n"/>
      <c r="CP84" s="1" t="n"/>
      <c r="CQ84" s="1" t="n"/>
      <c r="CR84" s="1" t="n"/>
      <c r="CS84" s="1" t="n"/>
      <c r="CT84" s="1" t="n"/>
      <c r="CU84" s="1" t="n"/>
      <c r="CV84" s="1" t="n"/>
      <c r="CW84" s="1" t="n"/>
      <c r="CX84" s="1" t="n"/>
      <c r="CY84" s="1" t="n"/>
      <c r="CZ84" s="1" t="n"/>
    </row>
    <row r="85" hidden="1">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c r="AW85" s="1" t="n"/>
      <c r="AX85" s="1" t="n"/>
      <c r="AY85" s="1" t="n"/>
      <c r="AZ85" s="1" t="n"/>
      <c r="BA85" s="1" t="n"/>
      <c r="BB85" s="1" t="n"/>
      <c r="BC85" s="1" t="n"/>
      <c r="BD85" s="1" t="n"/>
      <c r="BE85" s="1" t="n"/>
      <c r="BF85" s="1" t="n"/>
      <c r="BG85" s="1" t="n"/>
      <c r="BH85" s="1" t="n"/>
      <c r="BI85" s="1" t="n"/>
      <c r="BJ85" s="1" t="n"/>
      <c r="BK85" s="1" t="n"/>
      <c r="BL85" s="1" t="n"/>
      <c r="BM85" s="1" t="n"/>
      <c r="BN85" s="1" t="n"/>
      <c r="BO85" s="1" t="n"/>
      <c r="BP85" s="1" t="n"/>
      <c r="BQ85" s="1" t="n"/>
      <c r="BR85" s="1" t="n"/>
      <c r="BS85" s="1" t="n"/>
      <c r="BT85" s="1" t="n"/>
      <c r="BU85" s="1" t="n"/>
      <c r="BV85" s="1" t="n"/>
      <c r="BW85" s="1" t="n"/>
      <c r="BX85" s="1" t="n"/>
      <c r="BY85" s="1" t="n"/>
      <c r="BZ85" s="1" t="n"/>
      <c r="CA85" s="1" t="n"/>
      <c r="CB85" s="1" t="n"/>
      <c r="CC85" s="1" t="n"/>
      <c r="CD85" s="1" t="n"/>
      <c r="CE85" s="1" t="n"/>
      <c r="CF85" s="1" t="n"/>
      <c r="CG85" s="1" t="n"/>
      <c r="CH85" s="1" t="n"/>
      <c r="CI85" s="1" t="n"/>
      <c r="CJ85" s="1" t="n"/>
      <c r="CK85" s="1" t="n"/>
      <c r="CL85" s="1" t="n"/>
      <c r="CM85" s="1" t="n"/>
      <c r="CN85" s="1" t="n"/>
      <c r="CO85" s="1" t="n"/>
      <c r="CP85" s="1" t="n"/>
      <c r="CQ85" s="1" t="n"/>
      <c r="CR85" s="1" t="n"/>
      <c r="CS85" s="1" t="n"/>
      <c r="CT85" s="1" t="n"/>
      <c r="CU85" s="1" t="n"/>
      <c r="CV85" s="1" t="n"/>
      <c r="CW85" s="1" t="n"/>
      <c r="CX85" s="1" t="n"/>
      <c r="CY85" s="1" t="n"/>
      <c r="CZ85" s="1" t="n"/>
    </row>
    <row r="86" hidden="1">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c r="AW86" s="1" t="n"/>
      <c r="AX86" s="1" t="n"/>
      <c r="AY86" s="1" t="n"/>
      <c r="AZ86" s="1" t="n"/>
      <c r="BA86" s="1" t="n"/>
      <c r="BB86" s="1" t="n"/>
      <c r="BC86" s="1" t="n"/>
      <c r="BD86" s="1" t="n"/>
      <c r="BE86" s="1" t="n"/>
      <c r="BF86" s="1" t="n"/>
      <c r="BG86" s="1" t="n"/>
      <c r="BH86" s="1" t="n"/>
      <c r="BI86" s="1" t="n"/>
      <c r="BJ86" s="1" t="n"/>
      <c r="BK86" s="1" t="n"/>
      <c r="BL86" s="1" t="n"/>
      <c r="BM86" s="1" t="n"/>
      <c r="BN86" s="1" t="n"/>
      <c r="BO86" s="1" t="n"/>
      <c r="BP86" s="1" t="n"/>
      <c r="BQ86" s="1" t="n"/>
      <c r="BR86" s="1" t="n"/>
      <c r="BS86" s="1" t="n"/>
      <c r="BT86" s="1" t="n"/>
      <c r="BU86" s="1" t="n"/>
      <c r="BV86" s="1" t="n"/>
      <c r="BW86" s="1" t="n"/>
      <c r="BX86" s="1" t="n"/>
      <c r="BY86" s="1" t="n"/>
      <c r="BZ86" s="1" t="n"/>
      <c r="CA86" s="1" t="n"/>
      <c r="CB86" s="1" t="n"/>
      <c r="CC86" s="1" t="n"/>
      <c r="CD86" s="1" t="n"/>
      <c r="CE86" s="1" t="n"/>
      <c r="CF86" s="1" t="n"/>
      <c r="CG86" s="1" t="n"/>
      <c r="CH86" s="1" t="n"/>
      <c r="CI86" s="1" t="n"/>
      <c r="CJ86" s="1" t="n"/>
      <c r="CK86" s="1" t="n"/>
      <c r="CL86" s="1" t="n"/>
      <c r="CM86" s="1" t="n"/>
      <c r="CN86" s="1" t="n"/>
      <c r="CO86" s="1" t="n"/>
      <c r="CP86" s="1" t="n"/>
      <c r="CQ86" s="1" t="n"/>
      <c r="CR86" s="1" t="n"/>
      <c r="CS86" s="1" t="n"/>
      <c r="CT86" s="1" t="n"/>
      <c r="CU86" s="1" t="n"/>
      <c r="CV86" s="1" t="n"/>
      <c r="CW86" s="1" t="n"/>
      <c r="CX86" s="1" t="n"/>
      <c r="CY86" s="1" t="n"/>
      <c r="CZ86" s="1" t="n"/>
    </row>
    <row r="87" hidden="1">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c r="AW87" s="1" t="n"/>
      <c r="AX87" s="1" t="n"/>
      <c r="AY87" s="1" t="n"/>
      <c r="AZ87" s="1" t="n"/>
      <c r="BA87" s="1" t="n"/>
      <c r="BB87" s="1" t="n"/>
      <c r="BC87" s="1" t="n"/>
      <c r="BD87" s="1" t="n"/>
      <c r="BE87" s="1" t="n"/>
      <c r="BF87" s="1" t="n"/>
      <c r="BG87" s="1" t="n"/>
      <c r="BH87" s="1" t="n"/>
      <c r="BI87" s="1" t="n"/>
      <c r="BJ87" s="1" t="n"/>
      <c r="BK87" s="1" t="n"/>
      <c r="BL87" s="1" t="n"/>
      <c r="BM87" s="1" t="n"/>
      <c r="BN87" s="1" t="n"/>
      <c r="BO87" s="1" t="n"/>
      <c r="BP87" s="1" t="n"/>
      <c r="BQ87" s="1" t="n"/>
      <c r="BR87" s="1" t="n"/>
      <c r="BS87" s="1" t="n"/>
      <c r="BT87" s="1" t="n"/>
      <c r="BU87" s="1" t="n"/>
      <c r="BV87" s="1" t="n"/>
      <c r="BW87" s="1" t="n"/>
      <c r="BX87" s="1" t="n"/>
      <c r="BY87" s="1" t="n"/>
      <c r="BZ87" s="1" t="n"/>
      <c r="CA87" s="1" t="n"/>
      <c r="CB87" s="1" t="n"/>
      <c r="CC87" s="1" t="n"/>
      <c r="CD87" s="1" t="n"/>
      <c r="CE87" s="1" t="n"/>
      <c r="CF87" s="1" t="n"/>
      <c r="CG87" s="1" t="n"/>
      <c r="CH87" s="1" t="n"/>
      <c r="CI87" s="1" t="n"/>
      <c r="CJ87" s="1" t="n"/>
      <c r="CK87" s="1" t="n"/>
      <c r="CL87" s="1" t="n"/>
      <c r="CM87" s="1" t="n"/>
      <c r="CN87" s="1" t="n"/>
      <c r="CO87" s="1" t="n"/>
      <c r="CP87" s="1" t="n"/>
      <c r="CQ87" s="1" t="n"/>
      <c r="CR87" s="1" t="n"/>
      <c r="CS87" s="1" t="n"/>
      <c r="CT87" s="1" t="n"/>
      <c r="CU87" s="1" t="n"/>
      <c r="CV87" s="1" t="n"/>
      <c r="CW87" s="1" t="n"/>
      <c r="CX87" s="1" t="n"/>
      <c r="CY87" s="1" t="n"/>
      <c r="CZ87" s="1" t="n"/>
    </row>
    <row r="88" hidden="1">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c r="AW88" s="1" t="n"/>
      <c r="AX88" s="1" t="n"/>
      <c r="AY88" s="1" t="n"/>
      <c r="AZ88" s="1" t="n"/>
      <c r="BA88" s="1" t="n"/>
      <c r="BB88" s="1" t="n"/>
      <c r="BC88" s="1" t="n"/>
      <c r="BD88" s="1" t="n"/>
      <c r="BE88" s="1" t="n"/>
      <c r="BF88" s="1" t="n"/>
      <c r="BG88" s="1" t="n"/>
      <c r="BH88" s="1" t="n"/>
      <c r="BI88" s="1" t="n"/>
      <c r="BJ88" s="1" t="n"/>
      <c r="BK88" s="1" t="n"/>
      <c r="BL88" s="1" t="n"/>
      <c r="BM88" s="1" t="n"/>
      <c r="BN88" s="1" t="n"/>
      <c r="BO88" s="1" t="n"/>
      <c r="BP88" s="1" t="n"/>
      <c r="BQ88" s="1" t="n"/>
      <c r="BR88" s="1" t="n"/>
      <c r="BS88" s="1" t="n"/>
      <c r="BT88" s="1" t="n"/>
      <c r="BU88" s="1" t="n"/>
      <c r="BV88" s="1" t="n"/>
      <c r="BW88" s="1" t="n"/>
      <c r="BX88" s="1" t="n"/>
      <c r="BY88" s="1" t="n"/>
      <c r="BZ88" s="1" t="n"/>
      <c r="CA88" s="1" t="n"/>
      <c r="CB88" s="1" t="n"/>
      <c r="CC88" s="1" t="n"/>
      <c r="CD88" s="1" t="n"/>
      <c r="CE88" s="1" t="n"/>
      <c r="CF88" s="1" t="n"/>
      <c r="CG88" s="1" t="n"/>
      <c r="CH88" s="1" t="n"/>
      <c r="CI88" s="1" t="n"/>
      <c r="CJ88" s="1" t="n"/>
      <c r="CK88" s="1" t="n"/>
      <c r="CL88" s="1" t="n"/>
      <c r="CM88" s="1" t="n"/>
      <c r="CN88" s="1" t="n"/>
      <c r="CO88" s="1" t="n"/>
      <c r="CP88" s="1" t="n"/>
      <c r="CQ88" s="1" t="n"/>
      <c r="CR88" s="1" t="n"/>
      <c r="CS88" s="1" t="n"/>
      <c r="CT88" s="1" t="n"/>
      <c r="CU88" s="1" t="n"/>
      <c r="CV88" s="1" t="n"/>
      <c r="CW88" s="1" t="n"/>
      <c r="CX88" s="1" t="n"/>
      <c r="CY88" s="1" t="n"/>
      <c r="CZ88" s="1" t="n"/>
    </row>
    <row r="89" hidden="1">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c r="AW89" s="1" t="n"/>
      <c r="AX89" s="1" t="n"/>
      <c r="AY89" s="1" t="n"/>
      <c r="AZ89" s="1" t="n"/>
      <c r="BA89" s="1" t="n"/>
      <c r="BB89" s="1" t="n"/>
      <c r="BC89" s="1" t="n"/>
      <c r="BD89" s="1" t="n"/>
      <c r="BE89" s="1" t="n"/>
      <c r="BF89" s="1" t="n"/>
      <c r="BG89" s="1" t="n"/>
      <c r="BH89" s="1" t="n"/>
      <c r="BI89" s="1" t="n"/>
      <c r="BJ89" s="1" t="n"/>
      <c r="BK89" s="1" t="n"/>
      <c r="BL89" s="1" t="n"/>
      <c r="BM89" s="1" t="n"/>
      <c r="BN89" s="1" t="n"/>
      <c r="BO89" s="1" t="n"/>
      <c r="BP89" s="1" t="n"/>
      <c r="BQ89" s="1" t="n"/>
      <c r="BR89" s="1" t="n"/>
      <c r="BS89" s="1" t="n"/>
      <c r="BT89" s="1" t="n"/>
      <c r="BU89" s="1" t="n"/>
      <c r="BV89" s="1" t="n"/>
      <c r="BW89" s="1" t="n"/>
      <c r="BX89" s="1" t="n"/>
      <c r="BY89" s="1" t="n"/>
      <c r="BZ89" s="1" t="n"/>
      <c r="CA89" s="1" t="n"/>
      <c r="CB89" s="1" t="n"/>
      <c r="CC89" s="1" t="n"/>
      <c r="CD89" s="1" t="n"/>
      <c r="CE89" s="1" t="n"/>
      <c r="CF89" s="1" t="n"/>
      <c r="CG89" s="1" t="n"/>
      <c r="CH89" s="1" t="n"/>
      <c r="CI89" s="1" t="n"/>
      <c r="CJ89" s="1" t="n"/>
      <c r="CK89" s="1" t="n"/>
      <c r="CL89" s="1" t="n"/>
      <c r="CM89" s="1" t="n"/>
      <c r="CN89" s="1" t="n"/>
      <c r="CO89" s="1" t="n"/>
      <c r="CP89" s="1" t="n"/>
      <c r="CQ89" s="1" t="n"/>
      <c r="CR89" s="1" t="n"/>
      <c r="CS89" s="1" t="n"/>
      <c r="CT89" s="1" t="n"/>
      <c r="CU89" s="1" t="n"/>
      <c r="CV89" s="1" t="n"/>
      <c r="CW89" s="1" t="n"/>
      <c r="CX89" s="1" t="n"/>
      <c r="CY89" s="1" t="n"/>
      <c r="CZ89" s="1" t="n"/>
    </row>
    <row r="90" hidden="1">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c r="AW90" s="1" t="n"/>
      <c r="AX90" s="1" t="n"/>
      <c r="AY90" s="1" t="n"/>
      <c r="AZ90" s="1" t="n"/>
      <c r="BA90" s="1" t="n"/>
      <c r="BB90" s="1" t="n"/>
      <c r="BC90" s="1" t="n"/>
      <c r="BD90" s="1" t="n"/>
      <c r="BE90" s="1" t="n"/>
      <c r="BF90" s="1" t="n"/>
      <c r="BG90" s="1" t="n"/>
      <c r="BH90" s="1" t="n"/>
      <c r="BI90" s="1" t="n"/>
      <c r="BJ90" s="1" t="n"/>
      <c r="BK90" s="1" t="n"/>
      <c r="BL90" s="1" t="n"/>
      <c r="BM90" s="1" t="n"/>
      <c r="BN90" s="1" t="n"/>
      <c r="BO90" s="1" t="n"/>
      <c r="BP90" s="1" t="n"/>
      <c r="BQ90" s="1" t="n"/>
      <c r="BR90" s="1" t="n"/>
      <c r="BS90" s="1" t="n"/>
      <c r="BT90" s="1" t="n"/>
      <c r="BU90" s="1" t="n"/>
      <c r="BV90" s="1" t="n"/>
      <c r="BW90" s="1" t="n"/>
      <c r="BX90" s="1" t="n"/>
      <c r="BY90" s="1" t="n"/>
      <c r="BZ90" s="1" t="n"/>
      <c r="CA90" s="1" t="n"/>
      <c r="CB90" s="1" t="n"/>
      <c r="CC90" s="1" t="n"/>
      <c r="CD90" s="1" t="n"/>
      <c r="CE90" s="1" t="n"/>
      <c r="CF90" s="1" t="n"/>
      <c r="CG90" s="1" t="n"/>
      <c r="CH90" s="1" t="n"/>
      <c r="CI90" s="1" t="n"/>
      <c r="CJ90" s="1" t="n"/>
      <c r="CK90" s="1" t="n"/>
      <c r="CL90" s="1" t="n"/>
      <c r="CM90" s="1" t="n"/>
      <c r="CN90" s="1" t="n"/>
      <c r="CO90" s="1" t="n"/>
      <c r="CP90" s="1" t="n"/>
      <c r="CQ90" s="1" t="n"/>
      <c r="CR90" s="1" t="n"/>
      <c r="CS90" s="1" t="n"/>
      <c r="CT90" s="1" t="n"/>
      <c r="CU90" s="1" t="n"/>
      <c r="CV90" s="1" t="n"/>
      <c r="CW90" s="1" t="n"/>
      <c r="CX90" s="1" t="n"/>
      <c r="CY90" s="1" t="n"/>
      <c r="CZ90" s="1" t="n"/>
    </row>
  </sheetData>
  <sheetProtection selectLockedCells="0" selectUnlockedCells="0" algorithmName="SHA-512" sheet="1" objects="0" insertRows="0" insertHyperlinks="1" autoFilter="1" scenarios="0" formatColumns="1" deleteColumns="1" insertColumns="1" pivotTables="1" deleteRows="1" formatCells="1" saltValue="0nrmglF3aof028rv54tLiQ==" formatRows="0" sort="1" spinCount="100000" hashValue="RMQ/S6QbWeWZX3GoAqK70aC/GIjTebHiaxvx+2ZSyIaKU1zj1Stw3jalIyNdcE8idFRcTfcvA0oGrcTu9Dzyrw=="/>
  <mergeCells count="128">
    <mergeCell ref="A7:I7"/>
    <mergeCell ref="V32:Y32"/>
    <mergeCell ref="A5:D5"/>
    <mergeCell ref="BV32:BY32"/>
    <mergeCell ref="G8:G9"/>
    <mergeCell ref="BZ32:CC32"/>
    <mergeCell ref="AL8:AO8"/>
    <mergeCell ref="AX8:BA8"/>
    <mergeCell ref="J5:T5"/>
    <mergeCell ref="CP8:CS8"/>
    <mergeCell ref="C21:E21"/>
    <mergeCell ref="D47:F47"/>
    <mergeCell ref="D37:F37"/>
    <mergeCell ref="B18:B25"/>
    <mergeCell ref="C23:E23"/>
    <mergeCell ref="C47:C50"/>
    <mergeCell ref="BZ8:CC8"/>
    <mergeCell ref="A1:BA1"/>
    <mergeCell ref="D39:F39"/>
    <mergeCell ref="BR8:BU8"/>
    <mergeCell ref="J4:T4"/>
    <mergeCell ref="C8:F9"/>
    <mergeCell ref="C18:E18"/>
    <mergeCell ref="B31:B46"/>
    <mergeCell ref="H31:H33"/>
    <mergeCell ref="AT32:AW32"/>
    <mergeCell ref="H8:H9"/>
    <mergeCell ref="D31:F33"/>
    <mergeCell ref="C20:E20"/>
    <mergeCell ref="R32:U32"/>
    <mergeCell ref="C25:E25"/>
    <mergeCell ref="B10:B14"/>
    <mergeCell ref="BJ32:BM32"/>
    <mergeCell ref="AD32:AG32"/>
    <mergeCell ref="D41:F41"/>
    <mergeCell ref="C22:E22"/>
    <mergeCell ref="C12:E12"/>
    <mergeCell ref="AH32:AK32"/>
    <mergeCell ref="D43:F43"/>
    <mergeCell ref="E6:G6"/>
    <mergeCell ref="CL32:CO32"/>
    <mergeCell ref="G31:G33"/>
    <mergeCell ref="R8:U8"/>
    <mergeCell ref="I31:I33"/>
    <mergeCell ref="J8:M8"/>
    <mergeCell ref="D44:G44"/>
    <mergeCell ref="CX32:DA32"/>
    <mergeCell ref="AD8:AG8"/>
    <mergeCell ref="C29:BE30"/>
    <mergeCell ref="BN8:BQ8"/>
    <mergeCell ref="A31:A33"/>
    <mergeCell ref="BC3:CX5"/>
    <mergeCell ref="C13:E13"/>
    <mergeCell ref="AH8:AK8"/>
    <mergeCell ref="AT8:AW8"/>
    <mergeCell ref="CL8:CO8"/>
    <mergeCell ref="CX8:DA8"/>
    <mergeCell ref="C15:E15"/>
    <mergeCell ref="C24:E24"/>
    <mergeCell ref="J3:T3"/>
    <mergeCell ref="C34:C46"/>
    <mergeCell ref="D46:F46"/>
    <mergeCell ref="D40:F40"/>
    <mergeCell ref="C26:E26"/>
    <mergeCell ref="BV8:BY8"/>
    <mergeCell ref="C10:E10"/>
    <mergeCell ref="C16:E16"/>
    <mergeCell ref="B47:B50"/>
    <mergeCell ref="U2:AO2"/>
    <mergeCell ref="AR2:BB6"/>
    <mergeCell ref="B15:B17"/>
    <mergeCell ref="B8:B9"/>
    <mergeCell ref="AP32:AS32"/>
    <mergeCell ref="E2:G2"/>
    <mergeCell ref="C11:E11"/>
    <mergeCell ref="BB32:BE32"/>
    <mergeCell ref="B26:B28"/>
    <mergeCell ref="U3:AO3"/>
    <mergeCell ref="N32:Q32"/>
    <mergeCell ref="BN32:BQ32"/>
    <mergeCell ref="D42:F42"/>
    <mergeCell ref="Z32:AC32"/>
    <mergeCell ref="C28:E28"/>
    <mergeCell ref="V8:Y8"/>
    <mergeCell ref="I8:I9"/>
    <mergeCell ref="CD32:CG32"/>
    <mergeCell ref="AP8:AS8"/>
    <mergeCell ref="D35:F35"/>
    <mergeCell ref="D50:F50"/>
    <mergeCell ref="BB8:BE8"/>
    <mergeCell ref="D34:F34"/>
    <mergeCell ref="CH32:CK32"/>
    <mergeCell ref="C14:E14"/>
    <mergeCell ref="C31:C33"/>
    <mergeCell ref="N8:Q8"/>
    <mergeCell ref="CT32:CW32"/>
    <mergeCell ref="BF8:BI8"/>
    <mergeCell ref="Z8:AC8"/>
    <mergeCell ref="D36:F36"/>
    <mergeCell ref="J2:T2"/>
    <mergeCell ref="BJ8:BM8"/>
    <mergeCell ref="E4:G4"/>
    <mergeCell ref="D45:F45"/>
    <mergeCell ref="CD8:CG8"/>
    <mergeCell ref="A4:D4"/>
    <mergeCell ref="CH8:CK8"/>
    <mergeCell ref="D48:F48"/>
    <mergeCell ref="CT8:CW8"/>
    <mergeCell ref="C27:E27"/>
    <mergeCell ref="J6:T6"/>
    <mergeCell ref="B2:D2"/>
    <mergeCell ref="C17:E17"/>
    <mergeCell ref="D38:F38"/>
    <mergeCell ref="A6:D6"/>
    <mergeCell ref="C19:E19"/>
    <mergeCell ref="U5:AO5"/>
    <mergeCell ref="E3:G3"/>
    <mergeCell ref="AL32:AO32"/>
    <mergeCell ref="U4:AO4"/>
    <mergeCell ref="BF32:BI32"/>
    <mergeCell ref="CP32:CS32"/>
    <mergeCell ref="AX32:BA32"/>
    <mergeCell ref="E5:G5"/>
    <mergeCell ref="A3:D3"/>
    <mergeCell ref="BR32:BU32"/>
    <mergeCell ref="U6:AO6"/>
    <mergeCell ref="J32:M32"/>
    <mergeCell ref="D49:F49"/>
  </mergeCells>
  <conditionalFormatting sqref="G10:I28">
    <cfRule type="cellIs" priority="3" operator="equal" stopIfTrue="1">
      <formula>0</formula>
    </cfRule>
    <cfRule type="colorScale" priority="28">
      <colorScale>
        <cfvo type="min"/>
        <cfvo type="percentile" val="50"/>
        <cfvo type="max"/>
        <color rgb="FF00B050"/>
        <color rgb="FFFFFF00"/>
        <color rgb="FFC00000"/>
      </colorScale>
    </cfRule>
  </conditionalFormatting>
  <conditionalFormatting sqref="J34:BE34">
    <cfRule type="cellIs" priority="4" operator="equal">
      <formula>8</formula>
    </cfRule>
  </conditionalFormatting>
  <conditionalFormatting sqref="J10:DA28">
    <cfRule type="colorScale" priority="29">
      <colorScale>
        <cfvo type="min"/>
        <cfvo type="percentile" val="50"/>
        <cfvo type="max"/>
        <color theme="9" tint="0.5999938962981048"/>
        <color theme="7" tint="0.5999938962981048"/>
        <color theme="5" tint="0.3999755851924192"/>
      </colorScale>
    </cfRule>
    <cfRule type="expression" priority="30" dxfId="4">
      <formula>MOD(COLUMN(),2)</formula>
    </cfRule>
  </conditionalFormatting>
  <conditionalFormatting sqref="J34:DA50">
    <cfRule type="cellIs" priority="8" operator="equal" dxfId="9">
      <formula>0</formula>
    </cfRule>
    <cfRule type="cellIs" priority="9" operator="equal" dxfId="8">
      <formula>4</formula>
    </cfRule>
    <cfRule type="cellIs" priority="10" operator="equal" dxfId="7">
      <formula>3</formula>
    </cfRule>
    <cfRule type="cellIs" priority="11" operator="equal" dxfId="6">
      <formula>2</formula>
    </cfRule>
    <cfRule type="cellIs" priority="12" operator="equal" dxfId="5">
      <formula>1</formula>
    </cfRule>
    <cfRule type="expression" priority="14" dxfId="4">
      <formula>MOD(COLUMN(),2)</formula>
    </cfRule>
    <cfRule type="expression" priority="15" dxfId="3">
      <formula>MOD(COLUMN(),2)=0</formula>
    </cfRule>
  </conditionalFormatting>
  <dataValidations count="3">
    <dataValidation sqref="D31" showDropDown="0" showInputMessage="1" showErrorMessage="1" allowBlank="1" prompt="Enter activity in column B, starting with cell B5_x000a_"/>
    <dataValidation sqref="J7:J8 J31:J32 N8 N32 R8 R32 V8 V32 Z8 Z32 AD8 AD32 AH8 AH32 AL8 AL32 AP8 AP32 AT8 AT32 AX8 AX32 BB8 BB32 BF7:BF8 BF31:BF32 BJ8 BJ32 BN8 BN32 BR8 BR32 BV8 BV32 BZ8 BZ32 CD8 CD32 CH8 CH32 CL8 CL32 CP8 CP32 CT8 CT32 CX8 CX32" showDropDown="0" showInputMessage="1" showErrorMessage="1" allowBlank="1" prompt="Periods are charted from 1 to 60 starting from cell H4 to cell BO4 "/>
    <dataValidation sqref="G31:I33" showDropDown="0" showInputMessage="1" showErrorMessage="1" allowBlank="1" prompt="Enter actual duration period in column F, starting with cell F5"/>
  </dataValidations>
  <pageMargins left="0.7" right="0.7" top="0.75" bottom="0.75" header="0.3" footer="0.3"/>
  <pageSetup orientation="portrait"/>
  <headerFooter>
    <oddHeader>&amp;C&amp;"Aptos"&amp;1 &amp;K008000 Confidential GREEN#_x000d_</oddHeader>
    <oddFooter/>
    <evenHeader/>
    <evenFooter/>
    <firstHeader/>
    <firstFooter/>
  </headerFooter>
</worksheet>
</file>

<file path=xl/worksheets/sheet5.xml><?xml version="1.0" encoding="utf-8"?>
<worksheet xmlns="http://schemas.openxmlformats.org/spreadsheetml/2006/main">
  <sheetPr>
    <tabColor rgb="FF00B050"/>
    <outlinePr summaryBelow="1" summaryRight="1"/>
    <pageSetUpPr/>
  </sheetPr>
  <dimension ref="A1:R37"/>
  <sheetViews>
    <sheetView zoomScale="80" zoomScaleNormal="80" workbookViewId="0">
      <pane xSplit="1" ySplit="2" topLeftCell="B19" activePane="bottomRight" state="frozen"/>
      <selection activeCell="G22" sqref="G22"/>
      <selection pane="topRight" activeCell="G22" sqref="G22"/>
      <selection pane="bottomLeft" activeCell="G22" sqref="G22"/>
      <selection pane="bottomRight" activeCell="E28" sqref="E28"/>
    </sheetView>
  </sheetViews>
  <sheetFormatPr baseColWidth="8" defaultColWidth="0" defaultRowHeight="14.4" zeroHeight="1" outlineLevelRow="1"/>
  <cols>
    <col width="2.88671875" customWidth="1" min="1" max="1"/>
    <col width="8.88671875" customWidth="1" min="2" max="2"/>
    <col width="29.21875" customWidth="1" min="3" max="3"/>
    <col width="14.109375" customWidth="1" min="4" max="4"/>
    <col width="9.5546875" bestFit="1" customWidth="1" min="5" max="5"/>
    <col width="11" customWidth="1" min="6" max="6"/>
    <col width="17.5546875" customWidth="1" min="7" max="7"/>
    <col width="19.6640625" customWidth="1" min="8" max="8"/>
    <col width="16.6640625" bestFit="1" customWidth="1" min="9" max="9"/>
    <col width="17.44140625" customWidth="1" min="10" max="10"/>
    <col width="12.6640625" customWidth="1" min="11" max="11"/>
    <col width="2.44140625" customWidth="1" min="12" max="12"/>
    <col width="18.5546875" customWidth="1" min="13" max="13"/>
    <col width="29.6640625" customWidth="1" min="14" max="14"/>
    <col width="13.33203125" customWidth="1" min="15" max="15"/>
    <col width="12.109375" bestFit="1" customWidth="1" min="16" max="16"/>
    <col width="15.109375" customWidth="1" min="17" max="17"/>
    <col hidden="1" width="15.109375" customWidth="1" min="18" max="16384"/>
  </cols>
  <sheetData>
    <row r="1" ht="23.4" customHeight="1" thickBot="1">
      <c r="A1" s="46" t="n"/>
      <c r="B1" s="106" t="n"/>
      <c r="C1" s="549" t="n"/>
      <c r="D1" s="549" t="n"/>
      <c r="E1" s="549" t="n"/>
      <c r="F1" s="549" t="n"/>
      <c r="G1" s="210" t="n"/>
      <c r="H1" s="210" t="n"/>
      <c r="I1" s="131" t="inlineStr">
        <is>
          <t>Hotel+ Per Diem</t>
        </is>
      </c>
      <c r="J1" s="131" t="inlineStr">
        <is>
          <t>Local + In transit</t>
        </is>
      </c>
      <c r="K1" s="129" t="n"/>
      <c r="L1" s="105" t="n"/>
      <c r="M1" s="431" t="inlineStr">
        <is>
          <t xml:space="preserve"> Travel - Rate Card</t>
        </is>
      </c>
      <c r="N1" s="30" t="n"/>
      <c r="O1" s="30" t="n"/>
      <c r="P1" s="30" t="n"/>
      <c r="Q1" s="31" t="n"/>
    </row>
    <row r="2" ht="30" customHeight="1" thickBot="1" thickTop="1">
      <c r="A2" s="46" t="n"/>
      <c r="B2" s="132" t="inlineStr">
        <is>
          <t>Group</t>
        </is>
      </c>
      <c r="C2" s="132" t="inlineStr">
        <is>
          <t>Activity</t>
        </is>
      </c>
      <c r="D2" s="132" t="inlineStr">
        <is>
          <t>Location</t>
        </is>
      </c>
      <c r="E2" s="132" t="inlineStr">
        <is>
          <t>No of 
Trips</t>
        </is>
      </c>
      <c r="F2" s="132" t="inlineStr">
        <is>
          <t>No Of
 resource</t>
        </is>
      </c>
      <c r="G2" s="132" t="inlineStr">
        <is>
          <t xml:space="preserve">Days in Each trip 
including travel </t>
        </is>
      </c>
      <c r="H2" s="133" t="inlineStr">
        <is>
          <t>Reason</t>
        </is>
      </c>
      <c r="I2" s="130" t="inlineStr">
        <is>
          <t>Lodging 
&amp; Boarding</t>
        </is>
      </c>
      <c r="J2" s="130" t="inlineStr">
        <is>
          <t>Conveyance</t>
        </is>
      </c>
      <c r="K2" s="130" t="inlineStr">
        <is>
          <t>Total Cost</t>
        </is>
      </c>
      <c r="L2" s="105" t="n"/>
      <c r="M2" s="111" t="inlineStr">
        <is>
          <t>Location</t>
        </is>
      </c>
      <c r="N2" s="112" t="inlineStr">
        <is>
          <t>Item</t>
        </is>
      </c>
      <c r="O2" s="113" t="inlineStr">
        <is>
          <t>In INR</t>
        </is>
      </c>
      <c r="P2" s="114" t="inlineStr">
        <is>
          <t>In EUR</t>
        </is>
      </c>
      <c r="Q2" s="31" t="n"/>
    </row>
    <row r="3" outlineLevel="1" ht="17.4" customHeight="1">
      <c r="A3" s="46" t="n"/>
      <c r="B3" s="47" t="inlineStr">
        <is>
          <t>Travel</t>
        </is>
      </c>
      <c r="C3" s="127" t="inlineStr">
        <is>
          <t>Kick Off</t>
        </is>
      </c>
      <c r="D3" s="48" t="inlineStr">
        <is>
          <t>Domestic</t>
        </is>
      </c>
      <c r="E3" s="20" t="n"/>
      <c r="F3" s="20" t="n"/>
      <c r="G3" s="21" t="n"/>
      <c r="H3" s="23" t="n"/>
      <c r="I3" s="550">
        <f>IF(D3="Domestic",($O$3+$O$4)*F3*G3*E3,($O$7+$O$8)*F3*G3*E3)</f>
        <v/>
      </c>
      <c r="J3" s="551">
        <f>IF(D3="Domestic",($O$6*E3*F3)+(E3*F3*G3*$O$5),($O$10*E3*F3)+(E3*F3*G3*$O$9))</f>
        <v/>
      </c>
      <c r="K3" s="552">
        <f>SUM(I3:J3)</f>
        <v/>
      </c>
      <c r="L3" s="137" t="n"/>
      <c r="M3" s="66" t="inlineStr">
        <is>
          <t>Domestic</t>
        </is>
      </c>
      <c r="N3" s="67" t="inlineStr">
        <is>
          <t>Hotel Per Day</t>
        </is>
      </c>
      <c r="O3" s="553" t="n">
        <v>3500</v>
      </c>
      <c r="P3" s="554" t="n"/>
      <c r="Q3" s="31" t="n"/>
    </row>
    <row r="4" outlineLevel="1" ht="17.4" customHeight="1">
      <c r="A4" s="46" t="n"/>
      <c r="B4" s="50" t="inlineStr">
        <is>
          <t>Travel</t>
        </is>
      </c>
      <c r="C4" s="128" t="inlineStr">
        <is>
          <t>Requirement Discussion</t>
        </is>
      </c>
      <c r="D4" s="48" t="inlineStr">
        <is>
          <t>Domestic</t>
        </is>
      </c>
      <c r="E4" s="20" t="n"/>
      <c r="F4" s="20" t="n"/>
      <c r="G4" s="21" t="n"/>
      <c r="H4" s="22" t="n"/>
      <c r="I4" s="555">
        <f>IF(D4="Domestic",($O$3+$O$4)*F4*G4*E4,($O$7+$O$8)*F4*G4*E4)</f>
        <v/>
      </c>
      <c r="J4" s="556">
        <f>IF(D4="Domestic",($O$6*E4*F4)+(E4*F4*G4*$O$5),($O$10*E4*F4)+(E4*F4*G4*$O$9))</f>
        <v/>
      </c>
      <c r="K4" s="557">
        <f>SUM(I4:J4)</f>
        <v/>
      </c>
      <c r="L4" s="105" t="n"/>
      <c r="M4" s="68" t="inlineStr">
        <is>
          <t>Domestic</t>
        </is>
      </c>
      <c r="N4" s="69" t="inlineStr">
        <is>
          <t xml:space="preserve">Per Diem </t>
        </is>
      </c>
      <c r="O4" s="558" t="n">
        <v>1000</v>
      </c>
      <c r="P4" s="559" t="n"/>
      <c r="Q4" s="31" t="n"/>
    </row>
    <row r="5" outlineLevel="1" ht="17.4" customHeight="1">
      <c r="A5" s="46" t="n"/>
      <c r="B5" s="50" t="inlineStr">
        <is>
          <t>Travel</t>
        </is>
      </c>
      <c r="C5" s="128" t="inlineStr">
        <is>
          <t>Solution Designing</t>
        </is>
      </c>
      <c r="D5" s="48" t="inlineStr">
        <is>
          <t>Domestic</t>
        </is>
      </c>
      <c r="E5" s="20" t="n"/>
      <c r="F5" s="20" t="n"/>
      <c r="G5" s="21" t="n"/>
      <c r="H5" s="22" t="n"/>
      <c r="I5" s="555">
        <f>IF(D5="Domestic",($O$3+$O$4)*F5*G5*E5,($O$7+$O$8)*F5*G5*E5)</f>
        <v/>
      </c>
      <c r="J5" s="556">
        <f>IF(D5="Domestic",($O$6*E5*F5)+(E5*F5*G5*$O$5),($O$10*E5*F5)+(E5*F5*G5*$O$9))</f>
        <v/>
      </c>
      <c r="K5" s="557">
        <f>SUM(I5:J5)</f>
        <v/>
      </c>
      <c r="L5" s="105" t="n"/>
      <c r="M5" s="68" t="inlineStr">
        <is>
          <t>Domestic</t>
        </is>
      </c>
      <c r="N5" s="69" t="inlineStr">
        <is>
          <t>Local Travel Per Day</t>
        </is>
      </c>
      <c r="O5" s="558" t="n">
        <v>2000</v>
      </c>
      <c r="P5" s="559" t="n"/>
      <c r="Q5" s="31" t="n"/>
    </row>
    <row r="6" outlineLevel="1" ht="17.4" customHeight="1" thickBot="1">
      <c r="A6" s="46" t="n"/>
      <c r="B6" s="50" t="inlineStr">
        <is>
          <t>Travel</t>
        </is>
      </c>
      <c r="C6" s="128" t="inlineStr">
        <is>
          <t>Demonstrations</t>
        </is>
      </c>
      <c r="D6" s="48" t="inlineStr">
        <is>
          <t>Domestic</t>
        </is>
      </c>
      <c r="E6" s="20" t="n"/>
      <c r="F6" s="20" t="n"/>
      <c r="G6" s="21" t="n"/>
      <c r="H6" s="22" t="n"/>
      <c r="I6" s="555">
        <f>IF(D6="Domestic",($O$3+$O$4)*F6*G6*E6,($O$7+$O$8)*F6*G6*E6)</f>
        <v/>
      </c>
      <c r="J6" s="556">
        <f>IF(D6="Domestic",($O$6*E6*F6)+(E6*F6*G6*$O$5),($O$10*E6*F6)+(E6*F6*G6*$O$9))</f>
        <v/>
      </c>
      <c r="K6" s="557">
        <f>SUM(I6:J6)</f>
        <v/>
      </c>
      <c r="L6" s="105" t="n"/>
      <c r="M6" s="70" t="inlineStr">
        <is>
          <t>Domestic</t>
        </is>
      </c>
      <c r="N6" s="71" t="inlineStr">
        <is>
          <t>Itinerary to and fro</t>
        </is>
      </c>
      <c r="O6" s="560" t="n">
        <v>18000</v>
      </c>
      <c r="P6" s="561" t="n"/>
      <c r="Q6" s="31" t="n"/>
    </row>
    <row r="7" outlineLevel="1" ht="17.4" customHeight="1">
      <c r="A7" s="46" t="n"/>
      <c r="B7" s="50" t="inlineStr">
        <is>
          <t>Travel</t>
        </is>
      </c>
      <c r="C7" s="128" t="inlineStr">
        <is>
          <t>SIT ( System Integrated Testing )</t>
        </is>
      </c>
      <c r="D7" s="48" t="inlineStr">
        <is>
          <t>Domestic</t>
        </is>
      </c>
      <c r="E7" s="20" t="n"/>
      <c r="F7" s="20" t="n"/>
      <c r="G7" s="21" t="n"/>
      <c r="H7" s="22" t="n"/>
      <c r="I7" s="555">
        <f>IF(D7="Domestic",($O$3+$O$4)*F7*G7*E7,($O$7+$O$8)*F7*G7*E7)</f>
        <v/>
      </c>
      <c r="J7" s="556">
        <f>IF(D7="Domestic",($O$6*E7*F7)+(E7*F7*G7*$O$5),($O$10*E7*F7)+(E7*F7*G7*$O$9))</f>
        <v/>
      </c>
      <c r="K7" s="557">
        <f>SUM(I7:J7)</f>
        <v/>
      </c>
      <c r="L7" s="105" t="n"/>
      <c r="M7" s="72" t="inlineStr">
        <is>
          <t>International</t>
        </is>
      </c>
      <c r="N7" s="67" t="inlineStr">
        <is>
          <t>Hotel Per Day</t>
        </is>
      </c>
      <c r="O7" s="553" t="n">
        <v>8000</v>
      </c>
      <c r="P7" s="554" t="n"/>
      <c r="Q7" s="31" t="n"/>
    </row>
    <row r="8" outlineLevel="1" ht="17.4" customHeight="1">
      <c r="A8" s="46" t="n"/>
      <c r="B8" s="50" t="inlineStr">
        <is>
          <t>Travel</t>
        </is>
      </c>
      <c r="C8" s="128" t="inlineStr">
        <is>
          <t>UAT ( User Acceptance Testing )</t>
        </is>
      </c>
      <c r="D8" s="48" t="inlineStr">
        <is>
          <t>Domestic</t>
        </is>
      </c>
      <c r="E8" s="20" t="n"/>
      <c r="F8" s="20" t="n"/>
      <c r="G8" s="21" t="n"/>
      <c r="H8" s="22" t="n"/>
      <c r="I8" s="555">
        <f>IF(D8="Domestic",($O$3+$O$4)*F8*G8*E8,($O$7+$O$8)*F8*G8*E8)</f>
        <v/>
      </c>
      <c r="J8" s="556">
        <f>IF(D8="Domestic",($O$6*E8*F8)+(E8*F8*G8*$O$5),($O$10*E8*F8)+(E8*F8*G8*$O$9))</f>
        <v/>
      </c>
      <c r="K8" s="557">
        <f>SUM(I8:J8)</f>
        <v/>
      </c>
      <c r="L8" s="105" t="n"/>
      <c r="M8" s="73" t="inlineStr">
        <is>
          <t>International</t>
        </is>
      </c>
      <c r="N8" s="69" t="inlineStr">
        <is>
          <t xml:space="preserve">Per Diem </t>
        </is>
      </c>
      <c r="O8" s="558" t="n">
        <v>3200</v>
      </c>
      <c r="P8" s="559" t="n"/>
      <c r="Q8" s="31" t="n"/>
    </row>
    <row r="9" outlineLevel="1" ht="17.4" customHeight="1">
      <c r="A9" s="46" t="n"/>
      <c r="B9" s="50" t="inlineStr">
        <is>
          <t>Travel</t>
        </is>
      </c>
      <c r="C9" s="128" t="inlineStr">
        <is>
          <t>Go Live / Commissioning</t>
        </is>
      </c>
      <c r="D9" s="48" t="inlineStr">
        <is>
          <t>Domestic</t>
        </is>
      </c>
      <c r="E9" s="20" t="n"/>
      <c r="F9" s="20" t="n"/>
      <c r="G9" s="21" t="n"/>
      <c r="H9" s="22" t="n"/>
      <c r="I9" s="555">
        <f>IF(D9="Domestic",($O$3+$O$4)*F9*G9*E9,($O$7+$O$8)*F9*G9*E9)</f>
        <v/>
      </c>
      <c r="J9" s="556">
        <f>IF(D9="Domestic",($O$6*E9*F9)+(E9*F9*G9*$O$5),($O$10*E9*F9)+(E9*F9*G9*$O$9))</f>
        <v/>
      </c>
      <c r="K9" s="557">
        <f>SUM(I9:J9)</f>
        <v/>
      </c>
      <c r="L9" s="105" t="n"/>
      <c r="M9" s="73" t="inlineStr">
        <is>
          <t>International</t>
        </is>
      </c>
      <c r="N9" s="69" t="inlineStr">
        <is>
          <t>Local Travel Per Day</t>
        </is>
      </c>
      <c r="O9" s="558" t="n">
        <v>4000</v>
      </c>
      <c r="P9" s="559" t="n"/>
      <c r="Q9" s="31" t="n"/>
    </row>
    <row r="10" outlineLevel="1" ht="17.4" customHeight="1" thickBot="1">
      <c r="A10" s="46" t="n"/>
      <c r="B10" s="50" t="inlineStr">
        <is>
          <t>Travel</t>
        </is>
      </c>
      <c r="C10" s="128" t="inlineStr">
        <is>
          <t>Hyper Care</t>
        </is>
      </c>
      <c r="D10" s="48" t="inlineStr">
        <is>
          <t>Domestic</t>
        </is>
      </c>
      <c r="E10" s="20" t="n"/>
      <c r="F10" s="20" t="n"/>
      <c r="G10" s="21" t="n"/>
      <c r="H10" s="22" t="n"/>
      <c r="I10" s="555">
        <f>IF(D10="Domestic",($O$3+$O$4)*F10*G10*E10,($O$7+$O$8)*F10*G10*E10)</f>
        <v/>
      </c>
      <c r="J10" s="556">
        <f>IF(D10="Domestic",($O$6*E10*F10)+(E10*F10*G10*$O$5),($O$10*E10*F10)+(E10*F10*G10*$O$9))</f>
        <v/>
      </c>
      <c r="K10" s="557">
        <f>SUM(I10:J10)</f>
        <v/>
      </c>
      <c r="L10" s="105" t="n"/>
      <c r="M10" s="74" t="inlineStr">
        <is>
          <t>International</t>
        </is>
      </c>
      <c r="N10" s="71" t="inlineStr">
        <is>
          <t>Itinerary to and fro</t>
        </is>
      </c>
      <c r="O10" s="560" t="n">
        <v>200000</v>
      </c>
      <c r="P10" s="561" t="n"/>
      <c r="Q10" s="31" t="n"/>
    </row>
    <row r="11" outlineLevel="1" ht="17.4" customHeight="1">
      <c r="A11" s="46" t="n"/>
      <c r="B11" s="50" t="inlineStr">
        <is>
          <t>Travel</t>
        </is>
      </c>
      <c r="C11" s="128" t="inlineStr">
        <is>
          <t>On Site Support</t>
        </is>
      </c>
      <c r="D11" s="48" t="inlineStr">
        <is>
          <t>Domestic</t>
        </is>
      </c>
      <c r="E11" s="20" t="n"/>
      <c r="F11" s="20" t="n"/>
      <c r="G11" s="21" t="n"/>
      <c r="H11" s="22" t="n"/>
      <c r="I11" s="555">
        <f>IF(D11="Domestic",($O$3+$O$4)*F11*G11*E11,($O$7+$O$8)*F11*G11*E11)</f>
        <v/>
      </c>
      <c r="J11" s="556">
        <f>IF(D11="Domestic",($O$6*E11*F11)+(E11*F11*G11*$O$5),($O$10*E11*F11)+(E11*F11*G11*$O$9))</f>
        <v/>
      </c>
      <c r="K11" s="557">
        <f>SUM(I11:J11)</f>
        <v/>
      </c>
      <c r="L11" s="105" t="n"/>
      <c r="M11" s="105" t="n"/>
      <c r="N11" s="19" t="n"/>
      <c r="O11" s="19" t="n"/>
      <c r="P11" s="19" t="n"/>
      <c r="Q11" s="31" t="n"/>
    </row>
    <row r="12" outlineLevel="1" ht="17.4" customHeight="1">
      <c r="A12" s="46" t="n"/>
      <c r="B12" s="50" t="inlineStr">
        <is>
          <t>Travel</t>
        </is>
      </c>
      <c r="C12" s="128" t="inlineStr">
        <is>
          <t>Other Travels</t>
        </is>
      </c>
      <c r="D12" s="48" t="inlineStr">
        <is>
          <t>Domestic</t>
        </is>
      </c>
      <c r="E12" s="20" t="n"/>
      <c r="F12" s="20" t="n"/>
      <c r="G12" s="21" t="n"/>
      <c r="H12" s="22" t="n"/>
      <c r="I12" s="555">
        <f>IF(D12="Domestic",($O$3+$O$4)*F12*G12*E12,($O$7+$O$8)*F12*G12*E12)</f>
        <v/>
      </c>
      <c r="J12" s="556">
        <f>IF(D12="Domestic",($O$6*E12*F12)+(E12*F12*G12*$O$5),($O$10*E12*F12)+(E12*F12*G12*$O$9))</f>
        <v/>
      </c>
      <c r="K12" s="557">
        <f>SUM(I12:J12)</f>
        <v/>
      </c>
      <c r="L12" s="105" t="n"/>
      <c r="M12" s="105" t="n"/>
      <c r="N12" s="432" t="inlineStr">
        <is>
          <t xml:space="preserve"> Other - Rate Card</t>
        </is>
      </c>
      <c r="O12" s="466" t="n"/>
      <c r="P12" s="466" t="n"/>
      <c r="Q12" s="31" t="n"/>
    </row>
    <row r="13" outlineLevel="1" ht="17.4" customHeight="1">
      <c r="A13" s="46" t="n"/>
      <c r="B13" s="50" t="inlineStr">
        <is>
          <t>Travel</t>
        </is>
      </c>
      <c r="C13" s="128" t="inlineStr">
        <is>
          <t>Training</t>
        </is>
      </c>
      <c r="D13" s="48" t="inlineStr">
        <is>
          <t>Domestic</t>
        </is>
      </c>
      <c r="E13" s="20" t="n"/>
      <c r="F13" s="20" t="n"/>
      <c r="G13" s="21" t="n"/>
      <c r="H13" s="22" t="n"/>
      <c r="I13" s="555">
        <f>IF(D13="Domestic",($O$3+$O$4)*F13*G13*E13,($O$7+$O$8)*F13*G13*E13)</f>
        <v/>
      </c>
      <c r="J13" s="556">
        <f>IF(D13="Domestic",($O$6*E13*F13)+(E13*F13*G13*$O$5),($O$10*E13*F13)+(E13*F13*G13*$O$9))</f>
        <v/>
      </c>
      <c r="K13" s="557">
        <f>SUM(I13:J13)</f>
        <v/>
      </c>
      <c r="L13" s="105" t="n"/>
      <c r="M13" s="31" t="n"/>
      <c r="N13" s="115" t="inlineStr">
        <is>
          <t>Item</t>
        </is>
      </c>
      <c r="O13" s="116" t="inlineStr">
        <is>
          <t>In INR</t>
        </is>
      </c>
      <c r="P13" s="117" t="inlineStr">
        <is>
          <t>In EUR</t>
        </is>
      </c>
      <c r="Q13" s="31" t="n"/>
    </row>
    <row r="14" outlineLevel="1" ht="17.4" customHeight="1">
      <c r="A14" s="46" t="n"/>
      <c r="B14" s="50" t="inlineStr">
        <is>
          <t>Travel</t>
        </is>
      </c>
      <c r="C14" s="110" t="n"/>
      <c r="D14" s="48" t="inlineStr">
        <is>
          <t>Domestic</t>
        </is>
      </c>
      <c r="E14" s="20" t="n"/>
      <c r="F14" s="20" t="n"/>
      <c r="G14" s="21" t="n"/>
      <c r="H14" s="22" t="n"/>
      <c r="I14" s="555">
        <f>IF(D14="Domestic",($O$3+$O$4)*F14*G14*E14,($O$7+$O$8)*F14*G14*E14)</f>
        <v/>
      </c>
      <c r="J14" s="556">
        <f>IF(D14="Domestic",($O$6*E14*F14)+(E14*F14*G14*$O$5),($O$10*E14*F14)+(E14*F14*G14*$O$9))</f>
        <v/>
      </c>
      <c r="K14" s="557">
        <f>SUM(I14:J14)</f>
        <v/>
      </c>
      <c r="L14" s="105" t="n"/>
      <c r="M14" s="31" t="n"/>
      <c r="N14" s="75" t="inlineStr">
        <is>
          <t>Night Shift Allowance</t>
        </is>
      </c>
      <c r="O14" s="562" t="n">
        <v>500</v>
      </c>
      <c r="P14" s="563" t="n"/>
      <c r="Q14" s="31" t="n"/>
    </row>
    <row r="15" outlineLevel="1" ht="17.4" customHeight="1">
      <c r="A15" s="46" t="n"/>
      <c r="B15" s="50" t="inlineStr">
        <is>
          <t>Travel</t>
        </is>
      </c>
      <c r="C15" s="110" t="n"/>
      <c r="D15" s="48" t="inlineStr">
        <is>
          <t>Domestic</t>
        </is>
      </c>
      <c r="E15" s="20" t="n"/>
      <c r="F15" s="20" t="n"/>
      <c r="G15" s="21" t="n"/>
      <c r="H15" s="22" t="n"/>
      <c r="I15" s="555">
        <f>IF(D15="Domestic",($O$3+$O$4)*F15*G15*E15,($O$7+$O$8)*F15*G15*E15)</f>
        <v/>
      </c>
      <c r="J15" s="556">
        <f>IF(D15="Domestic",($O$6*E15*F15)+(E15*F15*G15*$O$5),($O$10*E15*F15)+(E15*F15*G15*$O$9))</f>
        <v/>
      </c>
      <c r="K15" s="557">
        <f>SUM(I15:J15)</f>
        <v/>
      </c>
      <c r="L15" s="105" t="n"/>
      <c r="M15" s="31" t="n"/>
      <c r="N15" s="76" t="inlineStr">
        <is>
          <t>Evening Shift Allowance</t>
        </is>
      </c>
      <c r="O15" s="564" t="n">
        <v>250</v>
      </c>
      <c r="P15" s="565" t="n"/>
      <c r="Q15" s="31" t="n"/>
    </row>
    <row r="16" outlineLevel="1" ht="17.4" customHeight="1">
      <c r="A16" s="46" t="n"/>
      <c r="B16" s="50" t="inlineStr">
        <is>
          <t>Travel</t>
        </is>
      </c>
      <c r="C16" s="48" t="n"/>
      <c r="D16" s="48" t="inlineStr">
        <is>
          <t>Domestic</t>
        </is>
      </c>
      <c r="E16" s="20" t="n"/>
      <c r="F16" s="20" t="n"/>
      <c r="G16" s="21" t="n"/>
      <c r="H16" s="22" t="n"/>
      <c r="I16" s="555">
        <f>IF(D16="Domestic",($O$3+$O$4)*F16*G16*E16,($O$7+$O$8)*F16*G16*E16)</f>
        <v/>
      </c>
      <c r="J16" s="556">
        <f>IF(D16="Domestic",($O$6*E16*F16)+(E16*F16*G16*$O$5),($O$10*E16*F16)+(E16*F16*G16*$O$9))</f>
        <v/>
      </c>
      <c r="K16" s="557">
        <f>SUM(I16:J16)</f>
        <v/>
      </c>
      <c r="L16" s="105" t="n"/>
      <c r="M16" s="31" t="n"/>
      <c r="N16" s="75" t="inlineStr">
        <is>
          <t>On Call</t>
        </is>
      </c>
      <c r="O16" s="562" t="n">
        <v>750</v>
      </c>
      <c r="P16" s="563" t="n"/>
      <c r="Q16" s="31" t="n"/>
    </row>
    <row r="17" outlineLevel="1" ht="17.4" customHeight="1">
      <c r="A17" s="46" t="n"/>
      <c r="B17" s="50" t="inlineStr">
        <is>
          <t>Travel</t>
        </is>
      </c>
      <c r="C17" s="57" t="n"/>
      <c r="D17" s="48" t="inlineStr">
        <is>
          <t>Domestic</t>
        </is>
      </c>
      <c r="E17" s="27" t="n"/>
      <c r="F17" s="27" t="n"/>
      <c r="G17" s="28" t="n"/>
      <c r="H17" s="29" t="n"/>
      <c r="I17" s="566">
        <f>IF(D17="Domestic",($O$3+$O$4)*F17*G17*E17,($O$7+$O$8)*F17*G17*E17)</f>
        <v/>
      </c>
      <c r="J17" s="567">
        <f>IF(D17="Domestic",($O$6*E17*F17)+(E17*F17*G17*$O$5),($O$10*E17*F17)+(E17*F17*G17*$O$9))</f>
        <v/>
      </c>
      <c r="K17" s="568">
        <f>SUM(I17:J17)</f>
        <v/>
      </c>
      <c r="L17" s="105" t="n"/>
      <c r="M17" s="31" t="n"/>
      <c r="N17" s="76" t="inlineStr">
        <is>
          <t>L1 Lodging</t>
        </is>
      </c>
      <c r="O17" s="564" t="n">
        <v>10000</v>
      </c>
      <c r="P17" s="565" t="n"/>
      <c r="Q17" s="31" t="n"/>
    </row>
    <row r="18">
      <c r="A18" s="46" t="n"/>
      <c r="B18" s="30" t="n"/>
      <c r="C18" s="30" t="n"/>
      <c r="D18" s="30" t="n"/>
      <c r="E18" s="30" t="n"/>
      <c r="F18" s="30" t="n"/>
      <c r="G18" s="30" t="n"/>
      <c r="H18" s="31" t="n"/>
      <c r="I18" s="31" t="n"/>
      <c r="J18" s="31" t="n"/>
      <c r="K18" s="31" t="n"/>
      <c r="L18" s="31" t="n"/>
      <c r="M18" s="31" t="n"/>
      <c r="N18" s="75" t="inlineStr">
        <is>
          <t>Mobile Allowance</t>
        </is>
      </c>
      <c r="O18" s="562" t="n">
        <v>500</v>
      </c>
      <c r="P18" s="563" t="n"/>
      <c r="Q18" s="31" t="n"/>
    </row>
    <row r="19" ht="31.2" customHeight="1">
      <c r="A19" s="46" t="n"/>
      <c r="B19" s="134" t="inlineStr">
        <is>
          <t>Group</t>
        </is>
      </c>
      <c r="C19" s="135" t="inlineStr">
        <is>
          <t>Activity</t>
        </is>
      </c>
      <c r="D19" s="135" t="inlineStr">
        <is>
          <t>No Of 
Times</t>
        </is>
      </c>
      <c r="E19" s="135" t="inlineStr">
        <is>
          <t>No Of 
resource</t>
        </is>
      </c>
      <c r="F19" s="135" t="inlineStr">
        <is>
          <t>Reason</t>
        </is>
      </c>
      <c r="G19" s="136" t="inlineStr">
        <is>
          <t>Total Cost</t>
        </is>
      </c>
      <c r="H19" s="142" t="inlineStr">
        <is>
          <t>Final Summary</t>
        </is>
      </c>
      <c r="I19" s="143" t="n"/>
      <c r="J19" s="31" t="n"/>
      <c r="K19" s="31" t="n"/>
      <c r="L19" s="31" t="n"/>
      <c r="M19" s="31" t="n"/>
      <c r="N19" s="76" t="inlineStr">
        <is>
          <t>Mobile Accessories</t>
        </is>
      </c>
      <c r="O19" s="564" t="n">
        <v>10000</v>
      </c>
      <c r="P19" s="565" t="n"/>
      <c r="Q19" s="31" t="n"/>
    </row>
    <row r="20" outlineLevel="1" ht="17.4" customHeight="1">
      <c r="A20" s="46" t="n"/>
      <c r="B20" s="58" t="inlineStr">
        <is>
          <t>AMC</t>
        </is>
      </c>
      <c r="C20" s="59" t="inlineStr">
        <is>
          <t>Night Shift Allowance</t>
        </is>
      </c>
      <c r="D20" s="20" t="n"/>
      <c r="E20" s="20" t="n"/>
      <c r="F20" s="21" t="n"/>
      <c r="G20" s="569">
        <f>D20*E20*$O$14</f>
        <v/>
      </c>
      <c r="H20" s="144" t="n"/>
      <c r="I20" s="145" t="n"/>
      <c r="J20" s="31" t="n"/>
      <c r="K20" s="31" t="n"/>
      <c r="L20" s="31" t="n"/>
      <c r="M20" s="31" t="n"/>
      <c r="N20" s="75" t="inlineStr">
        <is>
          <t>Safety Equipments</t>
        </is>
      </c>
      <c r="O20" s="562" t="n">
        <v>5000</v>
      </c>
      <c r="P20" s="563" t="n"/>
      <c r="Q20" s="31" t="n"/>
    </row>
    <row r="21" outlineLevel="1" ht="17.4" customHeight="1">
      <c r="A21" s="46" t="n"/>
      <c r="B21" s="58" t="inlineStr">
        <is>
          <t>AMC</t>
        </is>
      </c>
      <c r="C21" s="59" t="inlineStr">
        <is>
          <t>Evening Shift Allowance</t>
        </is>
      </c>
      <c r="D21" s="20" t="n"/>
      <c r="E21" s="20" t="n"/>
      <c r="F21" s="21" t="n"/>
      <c r="G21" s="569">
        <f>D21*E21*$O$15</f>
        <v/>
      </c>
      <c r="H21" s="265" t="inlineStr">
        <is>
          <t>Lodging &amp; Boarding</t>
        </is>
      </c>
      <c r="I21" s="570">
        <f>SUM(I3:I17)</f>
        <v/>
      </c>
      <c r="J21" s="31" t="n"/>
      <c r="K21" s="31" t="n"/>
      <c r="L21" s="31" t="n"/>
      <c r="M21" s="31" t="n"/>
      <c r="N21" s="77" t="inlineStr">
        <is>
          <t>Team Outing &amp; Boosters</t>
        </is>
      </c>
      <c r="O21" s="571" t="n">
        <v>2500</v>
      </c>
      <c r="P21" s="565" t="n"/>
      <c r="Q21" s="31" t="n"/>
    </row>
    <row r="22" outlineLevel="1" ht="17.4" customHeight="1">
      <c r="A22" s="46" t="n"/>
      <c r="B22" s="58" t="inlineStr">
        <is>
          <t>AMC</t>
        </is>
      </c>
      <c r="C22" s="59" t="inlineStr">
        <is>
          <t>On Call</t>
        </is>
      </c>
      <c r="D22" s="20" t="n"/>
      <c r="E22" s="20" t="n"/>
      <c r="F22" s="21" t="n"/>
      <c r="G22" s="569">
        <f>D22*E22*$O$16</f>
        <v/>
      </c>
      <c r="H22" s="265" t="inlineStr">
        <is>
          <t>Conveyance</t>
        </is>
      </c>
      <c r="I22" s="570">
        <f>SUM(J3:J17)</f>
        <v/>
      </c>
      <c r="J22" s="137" t="n"/>
      <c r="K22" s="137" t="n"/>
      <c r="L22" s="105" t="n"/>
      <c r="M22" s="31" t="n"/>
      <c r="N22" s="75" t="inlineStr">
        <is>
          <t>Visa Fee</t>
        </is>
      </c>
      <c r="O22" s="562" t="n">
        <v>10000</v>
      </c>
      <c r="P22" s="563" t="n"/>
      <c r="Q22" s="31" t="n"/>
    </row>
    <row r="23" outlineLevel="1" ht="17.4" customHeight="1">
      <c r="A23" s="46" t="n"/>
      <c r="B23" s="58" t="inlineStr">
        <is>
          <t>AMC</t>
        </is>
      </c>
      <c r="C23" s="59" t="inlineStr">
        <is>
          <t>L1 Lodging</t>
        </is>
      </c>
      <c r="D23" s="20" t="n"/>
      <c r="E23" s="20" t="n"/>
      <c r="F23" s="21" t="n"/>
      <c r="G23" s="569">
        <f>D23*E23*$O$17</f>
        <v/>
      </c>
      <c r="H23" s="265" t="inlineStr">
        <is>
          <t>Team Engagement</t>
        </is>
      </c>
      <c r="I23" s="570">
        <f>G27</f>
        <v/>
      </c>
      <c r="J23" s="105" t="n"/>
      <c r="K23" s="572" t="n"/>
      <c r="L23" s="105" t="n"/>
      <c r="M23" s="31" t="n"/>
      <c r="N23" s="75" t="inlineStr">
        <is>
          <t>Misceleneous</t>
        </is>
      </c>
      <c r="O23" s="562" t="n">
        <v>10001</v>
      </c>
      <c r="P23" s="563" t="n"/>
      <c r="Q23" s="31" t="n"/>
    </row>
    <row r="24" outlineLevel="1" ht="17.4" customHeight="1">
      <c r="A24" s="46" t="n"/>
      <c r="B24" s="58" t="inlineStr">
        <is>
          <t>Others</t>
        </is>
      </c>
      <c r="C24" s="61" t="inlineStr">
        <is>
          <t>Mobile Allowance</t>
        </is>
      </c>
      <c r="D24" s="20" t="n"/>
      <c r="E24" s="20" t="n"/>
      <c r="F24" s="21" t="n"/>
      <c r="G24" s="569">
        <f>D24*E24*$O$18</f>
        <v/>
      </c>
      <c r="H24" s="265" t="inlineStr">
        <is>
          <t>Hardship Allowance</t>
        </is>
      </c>
      <c r="I24" s="570">
        <f>SUM(G20:G22)</f>
        <v/>
      </c>
      <c r="J24" s="31" t="n"/>
      <c r="K24" s="572" t="n"/>
      <c r="L24" s="105" t="n"/>
      <c r="M24" s="31" t="n"/>
      <c r="N24" s="31" t="n"/>
      <c r="O24" s="31" t="n"/>
      <c r="P24" s="31" t="n"/>
      <c r="Q24" s="31" t="n"/>
    </row>
    <row r="25" outlineLevel="1" ht="17.4" customHeight="1">
      <c r="A25" s="46" t="n"/>
      <c r="B25" s="58" t="inlineStr">
        <is>
          <t>Others</t>
        </is>
      </c>
      <c r="C25" s="61" t="inlineStr">
        <is>
          <t>Mobile Accessories</t>
        </is>
      </c>
      <c r="D25" s="20" t="n"/>
      <c r="E25" s="20" t="n"/>
      <c r="F25" s="21" t="n"/>
      <c r="G25" s="569">
        <f>D25*E25*$O$19</f>
        <v/>
      </c>
      <c r="H25" s="265" t="inlineStr">
        <is>
          <t>Accessories</t>
        </is>
      </c>
      <c r="I25" s="570">
        <f>G25+G26</f>
        <v/>
      </c>
      <c r="J25" s="31" t="n"/>
      <c r="K25" s="573" t="n"/>
      <c r="L25" s="105" t="n"/>
      <c r="M25" s="31" t="n"/>
      <c r="N25" s="31" t="n"/>
      <c r="O25" s="31" t="n"/>
      <c r="P25" s="31" t="n"/>
      <c r="Q25" s="31" t="n"/>
    </row>
    <row r="26" outlineLevel="1" ht="17.4" customHeight="1">
      <c r="A26" s="46" t="n"/>
      <c r="B26" s="58" t="inlineStr">
        <is>
          <t>Others</t>
        </is>
      </c>
      <c r="C26" s="61" t="inlineStr">
        <is>
          <t>Safety Equipments</t>
        </is>
      </c>
      <c r="D26" s="20" t="n"/>
      <c r="E26" s="20" t="n"/>
      <c r="F26" s="21" t="n"/>
      <c r="G26" s="569">
        <f>D26*E26*$O$20</f>
        <v/>
      </c>
      <c r="H26" s="265" t="inlineStr">
        <is>
          <t>Miscellaneous</t>
        </is>
      </c>
      <c r="I26" s="570">
        <f>G23+G24+SUM(G28:G34)</f>
        <v/>
      </c>
      <c r="J26" s="31" t="n"/>
      <c r="K26" s="31" t="n"/>
      <c r="L26" s="105" t="n"/>
      <c r="M26" s="31" t="n"/>
      <c r="N26" s="31" t="n"/>
      <c r="O26" s="31" t="n"/>
      <c r="P26" s="31" t="n"/>
      <c r="Q26" s="31" t="n"/>
    </row>
    <row r="27" outlineLevel="1" ht="17.4" customHeight="1" thickBot="1">
      <c r="A27" s="46" t="n"/>
      <c r="B27" s="58" t="inlineStr">
        <is>
          <t>Others</t>
        </is>
      </c>
      <c r="C27" s="61" t="inlineStr">
        <is>
          <t>Team Outing &amp; Boosters</t>
        </is>
      </c>
      <c r="D27" s="20" t="n"/>
      <c r="E27" s="20" t="n"/>
      <c r="F27" s="21" t="n"/>
      <c r="G27" s="569">
        <f>D27*E27*$O$21</f>
        <v/>
      </c>
      <c r="H27" s="266" t="inlineStr">
        <is>
          <t>Total</t>
        </is>
      </c>
      <c r="I27" s="574">
        <f>SUM(I21:I26)</f>
        <v/>
      </c>
      <c r="J27" s="31" t="n"/>
      <c r="K27" s="31" t="n"/>
      <c r="L27" s="105" t="n"/>
      <c r="M27" s="31" t="n"/>
      <c r="N27" s="31" t="n"/>
      <c r="O27" s="31" t="n"/>
      <c r="P27" s="31" t="n"/>
      <c r="Q27" s="31" t="n"/>
    </row>
    <row r="28" outlineLevel="1" ht="17.4" customHeight="1">
      <c r="A28" s="46" t="n"/>
      <c r="B28" s="58" t="inlineStr">
        <is>
          <t>Others</t>
        </is>
      </c>
      <c r="C28" s="61" t="inlineStr">
        <is>
          <t>Visa Fee</t>
        </is>
      </c>
      <c r="D28" s="20" t="n"/>
      <c r="E28" s="20" t="n"/>
      <c r="F28" s="21" t="n"/>
      <c r="G28" s="569">
        <f>D28*E28*$O$22</f>
        <v/>
      </c>
      <c r="H28" s="311" t="e">
        <v>#VALUE!</v>
      </c>
      <c r="I28" s="31" t="n"/>
      <c r="J28" s="31" t="n"/>
      <c r="K28" s="31" t="n"/>
      <c r="L28" s="31" t="n"/>
      <c r="M28" s="31" t="n"/>
      <c r="N28" s="31" t="n"/>
      <c r="O28" s="31" t="n"/>
      <c r="P28" s="31" t="n"/>
      <c r="Q28" s="31" t="n"/>
      <c r="R28" s="188" t="n"/>
    </row>
    <row r="29" outlineLevel="1" ht="17.4" customHeight="1">
      <c r="A29" s="46" t="n"/>
      <c r="B29" s="58" t="inlineStr">
        <is>
          <t>Others</t>
        </is>
      </c>
      <c r="C29" s="61" t="inlineStr">
        <is>
          <t>Misceleneous</t>
        </is>
      </c>
      <c r="D29" s="20" t="n"/>
      <c r="E29" s="20" t="n"/>
      <c r="F29" s="21" t="n"/>
      <c r="G29" s="575">
        <f>D29*E29*$O$23</f>
        <v/>
      </c>
      <c r="I29" s="31" t="n"/>
      <c r="J29" s="31" t="n"/>
      <c r="K29" s="31" t="n"/>
      <c r="L29" s="31" t="n"/>
      <c r="M29" s="31" t="n"/>
      <c r="N29" s="31" t="n"/>
      <c r="O29" s="31" t="n"/>
      <c r="P29" s="31" t="n"/>
      <c r="Q29" s="31" t="n"/>
      <c r="R29" s="189" t="n"/>
    </row>
    <row r="30" outlineLevel="1" ht="17.4" customHeight="1">
      <c r="A30" s="46" t="n"/>
      <c r="B30" s="58" t="inlineStr">
        <is>
          <t>Others</t>
        </is>
      </c>
      <c r="C30" s="61" t="n"/>
      <c r="D30" s="20" t="n"/>
      <c r="E30" s="20" t="n"/>
      <c r="F30" s="21" t="n"/>
      <c r="G30" s="575">
        <f>D30*E30*$O$22</f>
        <v/>
      </c>
      <c r="I30" s="433" t="inlineStr">
        <is>
          <t>Strictly Internal to Smart Controls Authorized personnel only.</t>
        </is>
      </c>
      <c r="O30" s="31" t="n"/>
      <c r="P30" s="31" t="n"/>
      <c r="Q30" s="31" t="n"/>
      <c r="R30" s="189" t="n"/>
    </row>
    <row r="31" outlineLevel="1" ht="17.4" customHeight="1">
      <c r="A31" s="46" t="n"/>
      <c r="B31" s="58" t="inlineStr">
        <is>
          <t>Others</t>
        </is>
      </c>
      <c r="C31" s="61" t="n"/>
      <c r="D31" s="20" t="n"/>
      <c r="E31" s="20" t="n"/>
      <c r="F31" s="21" t="n"/>
      <c r="G31" s="575">
        <f>D31*E31*$O$22</f>
        <v/>
      </c>
      <c r="O31" s="1" t="n"/>
      <c r="P31" s="1" t="n"/>
      <c r="Q31" s="1" t="n"/>
      <c r="R31" s="189" t="n"/>
    </row>
    <row r="32" outlineLevel="1" ht="17.4" customHeight="1" thickBot="1">
      <c r="A32" s="46" t="n"/>
      <c r="B32" s="58" t="inlineStr">
        <is>
          <t>Others</t>
        </is>
      </c>
      <c r="C32" s="61" t="n"/>
      <c r="D32" s="20" t="n"/>
      <c r="E32" s="20" t="n"/>
      <c r="F32" s="21" t="n"/>
      <c r="G32" s="575">
        <f>D32*E32*$O$22</f>
        <v/>
      </c>
      <c r="I32" s="1" t="n"/>
      <c r="J32" s="1" t="n"/>
      <c r="K32" s="1" t="n"/>
      <c r="L32" s="1" t="n"/>
      <c r="M32" s="1" t="n"/>
      <c r="N32" s="1" t="n"/>
      <c r="O32" s="1" t="n"/>
      <c r="P32" s="1" t="n"/>
      <c r="Q32" s="1" t="n"/>
      <c r="R32" s="190" t="n"/>
    </row>
    <row r="33" outlineLevel="1" ht="17.4" customHeight="1">
      <c r="A33" s="46" t="n"/>
      <c r="B33" s="58" t="inlineStr">
        <is>
          <t>Others</t>
        </is>
      </c>
      <c r="C33" s="61" t="n"/>
      <c r="D33" s="20" t="n"/>
      <c r="E33" s="20" t="n"/>
      <c r="F33" s="21" t="n"/>
      <c r="G33" s="575">
        <f>D33*E33*$O$22</f>
        <v/>
      </c>
      <c r="I33" s="1" t="n"/>
      <c r="J33" s="1" t="n"/>
      <c r="K33" s="1" t="n"/>
      <c r="L33" s="1" t="n"/>
      <c r="M33" s="1" t="n"/>
      <c r="N33" s="1" t="n"/>
      <c r="O33" s="1" t="n"/>
      <c r="P33" s="1" t="n"/>
      <c r="Q33" s="1" t="n"/>
    </row>
    <row r="34" outlineLevel="1" ht="17.4" customHeight="1">
      <c r="A34" s="46" t="n"/>
      <c r="B34" s="62" t="inlineStr">
        <is>
          <t>Others</t>
        </is>
      </c>
      <c r="C34" s="63" t="n"/>
      <c r="D34" s="27" t="n"/>
      <c r="E34" s="27" t="n"/>
      <c r="F34" s="28" t="n"/>
      <c r="G34" s="575">
        <f>D34*E34*$O$22</f>
        <v/>
      </c>
      <c r="I34" s="1" t="n"/>
      <c r="J34" s="1" t="n"/>
      <c r="K34" s="1" t="n"/>
      <c r="L34" s="1" t="n"/>
      <c r="M34" s="1" t="n"/>
      <c r="N34" s="1" t="n"/>
      <c r="O34" s="1" t="n"/>
      <c r="P34" s="1" t="n"/>
      <c r="Q34" s="1" t="n"/>
    </row>
    <row r="35">
      <c r="A35" s="31" t="n"/>
      <c r="B35" s="31" t="n"/>
      <c r="C35" s="31" t="n"/>
      <c r="D35" s="31" t="n"/>
      <c r="E35" s="31" t="n"/>
      <c r="F35" s="31" t="n"/>
      <c r="G35" s="31" t="n"/>
      <c r="H35" s="31" t="n"/>
      <c r="I35" s="1" t="n"/>
      <c r="J35" s="1" t="n"/>
      <c r="K35" s="1" t="n"/>
      <c r="L35" s="1" t="n"/>
      <c r="M35" s="1" t="n"/>
      <c r="N35" s="1" t="n"/>
      <c r="O35" s="1" t="n"/>
      <c r="P35" s="1" t="n"/>
      <c r="Q35" s="1" t="n"/>
    </row>
    <row r="36">
      <c r="A36" s="31" t="n"/>
      <c r="B36" s="31" t="n"/>
      <c r="C36" s="31" t="n"/>
      <c r="D36" s="31" t="n"/>
      <c r="E36" s="31" t="n"/>
      <c r="F36" s="31" t="n"/>
      <c r="G36" s="31" t="n"/>
      <c r="H36" s="31" t="n"/>
      <c r="I36" s="1" t="n"/>
      <c r="J36" s="1" t="n"/>
      <c r="K36" s="1" t="n"/>
      <c r="L36" s="1" t="n"/>
      <c r="M36" s="1" t="n"/>
      <c r="N36" s="1" t="n"/>
      <c r="O36" s="1" t="n"/>
      <c r="P36" s="1" t="n"/>
      <c r="Q36" s="1" t="n"/>
    </row>
    <row r="37">
      <c r="A37" s="31" t="n"/>
      <c r="B37" s="31" t="n"/>
      <c r="C37" s="31" t="n"/>
      <c r="D37" s="31" t="n"/>
      <c r="E37" s="31" t="n"/>
      <c r="F37" s="31" t="n"/>
      <c r="G37" s="31" t="n"/>
      <c r="H37" s="31" t="n"/>
      <c r="I37" s="1" t="n"/>
      <c r="J37" s="1" t="n"/>
      <c r="K37" s="1" t="n"/>
      <c r="L37" s="1" t="n"/>
      <c r="M37" s="1" t="n"/>
      <c r="N37" s="1" t="n"/>
      <c r="O37" s="1" t="n"/>
      <c r="P37" s="1" t="n"/>
      <c r="Q37" s="1" t="n"/>
    </row>
  </sheetData>
  <sheetProtection selectLockedCells="0" selectUnlockedCells="0" algorithmName="SHA-512" sheet="1" objects="1" insertRows="1" insertHyperlinks="1" autoFilter="1" scenarios="1" formatColumns="0" deleteColumns="1" insertColumns="1" pivotTables="1" deleteRows="1" formatCells="0" saltValue="ccr/vDonNbYIyURAS+bPrA==" formatRows="0" sort="1" spinCount="100000" hashValue="LYQ8qvq1cy55RLufnnxaXaV/m7f7QdZw0nUnO49+osmYWW8MuDVH3Ldk0WLhreceFDP6bL8kh34xQztSDZbDsg=="/>
  <mergeCells count="4">
    <mergeCell ref="H28:H34"/>
    <mergeCell ref="M1:P1"/>
    <mergeCell ref="N12:P12"/>
    <mergeCell ref="I30:N31"/>
  </mergeCells>
  <conditionalFormatting sqref="D3:D17">
    <cfRule type="cellIs" priority="1" operator="equal" dxfId="2">
      <formula>"International"</formula>
    </cfRule>
    <cfRule type="containsText" priority="2" operator="containsText" dxfId="0" text="Domestic">
      <formula>NOT(ISERROR(SEARCH("Domestic",D3)))</formula>
    </cfRule>
  </conditionalFormatting>
  <dataValidations count="1">
    <dataValidation sqref="D3:D17" showDropDown="0" showInputMessage="1" showErrorMessage="1" allowBlank="0" type="list">
      <formula1>"Domestic,International"</formula1>
    </dataValidation>
  </dataValidations>
  <pageMargins left="0.7" right="0.7" top="0.75" bottom="0.75" header="0.3" footer="0.3"/>
  <headerFooter>
    <oddHeader>&amp;C&amp;"Aptos"&amp;1 &amp;K008000 Confidential GREEN#_x000d_</oddHeader>
    <oddFooter/>
    <evenHeader/>
    <evenFooter/>
    <firstHeader/>
    <firstFooter/>
  </headerFooter>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6.xml><?xml version="1.0" encoding="utf-8"?>
<worksheet xmlns="http://schemas.openxmlformats.org/spreadsheetml/2006/main">
  <sheetPr>
    <tabColor rgb="FF00B050"/>
    <outlinePr summaryBelow="1" summaryRight="1"/>
    <pageSetUpPr/>
  </sheetPr>
  <dimension ref="A1:H36"/>
  <sheetViews>
    <sheetView zoomScale="70" zoomScaleNormal="70" workbookViewId="0">
      <selection activeCell="E14" sqref="E14"/>
    </sheetView>
  </sheetViews>
  <sheetFormatPr baseColWidth="8" defaultColWidth="0" defaultRowHeight="14.4" zeroHeight="1"/>
  <cols>
    <col width="7.33203125" customWidth="1" min="1" max="1"/>
    <col width="106.33203125" customWidth="1" min="2" max="2"/>
    <col width="8.88671875" customWidth="1" min="3" max="3"/>
    <col width="7.33203125" customWidth="1" min="4" max="4"/>
    <col width="106.33203125" customWidth="1" min="5" max="5"/>
    <col width="8.33203125" customWidth="1" min="6" max="6"/>
    <col width="7.33203125" customWidth="1" min="7" max="7"/>
    <col width="106.33203125" customWidth="1" min="8" max="8"/>
    <col width="8.33203125" customWidth="1" min="9" max="9"/>
    <col hidden="1" width="8.33203125" customWidth="1" min="10" max="16384"/>
  </cols>
  <sheetData>
    <row r="1" ht="21.6" customHeight="1" thickBot="1">
      <c r="A1" s="436" t="inlineStr">
        <is>
          <t>MUST BE INCLUDED IN TECHNICAL OFFER</t>
        </is>
      </c>
    </row>
    <row r="2" ht="32.4" customHeight="1" thickBot="1">
      <c r="A2" s="576" t="inlineStr">
        <is>
          <t>Assumptions taken in Project : Project Assumption Section</t>
        </is>
      </c>
      <c r="B2" s="482" t="n"/>
      <c r="C2" s="195" t="n"/>
      <c r="D2" s="576" t="inlineStr">
        <is>
          <t>Supports/ Scopes to be taken care by Customer : Customer Support Section</t>
        </is>
      </c>
      <c r="E2" s="482" t="n"/>
      <c r="F2" s="195" t="n"/>
      <c r="G2" s="576" t="inlineStr">
        <is>
          <t>Overall Scopes not to be deliverd by SCIL : Out Of Scope Section</t>
        </is>
      </c>
      <c r="H2" s="482" t="n"/>
    </row>
    <row r="3" ht="18" customFormat="1" customHeight="1" s="146">
      <c r="A3" s="194" t="inlineStr">
        <is>
          <t>S.No</t>
        </is>
      </c>
      <c r="B3" s="193" t="inlineStr">
        <is>
          <t>Assumption</t>
        </is>
      </c>
      <c r="D3" s="194" t="inlineStr">
        <is>
          <t>S.No</t>
        </is>
      </c>
      <c r="E3" s="193" t="inlineStr">
        <is>
          <t>Customer Support</t>
        </is>
      </c>
      <c r="G3" s="194" t="inlineStr">
        <is>
          <t>S.No</t>
        </is>
      </c>
      <c r="H3" s="193" t="inlineStr">
        <is>
          <t>Out of Scope</t>
        </is>
      </c>
    </row>
    <row r="4" ht="28.2" customHeight="1">
      <c r="A4" s="191" t="n">
        <v>1</v>
      </c>
      <c r="B4" s="192" t="inlineStr">
        <is>
          <t>OPC UA Server is configured and accessible at the PLC side by Zeppelin / End Customer.</t>
        </is>
      </c>
      <c r="D4" s="191" t="n">
        <v>1</v>
      </c>
      <c r="E4" s="192" t="inlineStr">
        <is>
          <t>Provide OPC UA tag list and PLC Node IDs before FDS phase.</t>
        </is>
      </c>
      <c r="G4" s="191" t="n">
        <v>1</v>
      </c>
      <c r="H4" s="192" t="inlineStr">
        <is>
          <t>PLC OPC UA Server configuration, programming, or any PLC-side modifications.</t>
        </is>
      </c>
    </row>
    <row r="5" ht="28.2" customHeight="1">
      <c r="A5" s="191" t="n">
        <v>2</v>
      </c>
      <c r="B5" s="192" t="inlineStr">
        <is>
          <t>OPC UA tag list and PLC Node IDs will be provided by Zeppelin prior to FDS.</t>
        </is>
      </c>
      <c r="D5" s="191" t="n">
        <v>2</v>
      </c>
      <c r="E5" s="192" t="inlineStr">
        <is>
          <t>Align process/domain experts for requirement workshops.</t>
        </is>
      </c>
      <c r="G5" s="191" t="n">
        <v>2</v>
      </c>
      <c r="H5" s="192" t="inlineStr">
        <is>
          <t>Hardware procurement — servers, Panel PCs, or network equipment.</t>
        </is>
      </c>
    </row>
    <row r="6" ht="28.2" customHeight="1">
      <c r="A6" s="191" t="n">
        <v>3</v>
      </c>
      <c r="B6" s="192" t="inlineStr">
        <is>
          <t>NAMiQ-standard UI/UX wireframes will be developed by Ricardo Klement (ZSD) and shared with SCIL before FDS.</t>
        </is>
      </c>
      <c r="D6" s="191" t="n">
        <v>3</v>
      </c>
      <c r="E6" s="192" t="inlineStr">
        <is>
          <t>Provision SIT, UAT, and Production server/hosting environments.</t>
        </is>
      </c>
      <c r="G6" s="191" t="n">
        <v>3</v>
      </c>
      <c r="H6" s="192" t="inlineStr">
        <is>
          <t>Network infrastructure design or installation.</t>
        </is>
      </c>
    </row>
    <row r="7" ht="28.2" customHeight="1">
      <c r="A7" s="191" t="n">
        <v>4</v>
      </c>
      <c r="B7" s="192" t="inlineStr">
        <is>
          <t>Server/hosting infrastructure will be provisioned by Zeppelin before UAT phase.</t>
        </is>
      </c>
      <c r="D7" s="191" t="n">
        <v>4</v>
      </c>
      <c r="E7" s="192" t="inlineStr">
        <is>
          <t>Provide MS SQL Server or PostgreSQL license for all environments.</t>
        </is>
      </c>
      <c r="G7" s="191" t="n">
        <v>4</v>
      </c>
      <c r="H7" s="192" t="inlineStr">
        <is>
          <t>OS, database, antivirus, or backup software license procurement.</t>
        </is>
      </c>
    </row>
    <row r="8" ht="28.2" customHeight="1">
      <c r="A8" s="191" t="n">
        <v>5</v>
      </c>
      <c r="B8" s="192" t="inlineStr">
        <is>
          <t>MS SQL Server or PostgreSQL license will be provided by Zeppelin.</t>
        </is>
      </c>
      <c r="D8" s="191" t="n">
        <v>5</v>
      </c>
      <c r="E8" s="192" t="inlineStr">
        <is>
          <t>Ensure network connectivity between application server and PLC OPC UA Server.</t>
        </is>
      </c>
      <c r="G8" s="191" t="n">
        <v>5</v>
      </c>
      <c r="H8" s="192" t="inlineStr">
        <is>
          <t>Phase 2 features (Recipe, Production Order, Batch Report) unless separately ordered.</t>
        </is>
      </c>
    </row>
    <row r="9" ht="28.2" customHeight="1">
      <c r="A9" s="191" t="n">
        <v>6</v>
      </c>
      <c r="B9" s="192" t="inlineStr">
        <is>
          <t>Stable network connectivity exists between application server and PLC OPC UA Server.</t>
        </is>
      </c>
      <c r="D9" s="191" t="n">
        <v>6</v>
      </c>
      <c r="E9" s="192" t="inlineStr">
        <is>
          <t>Provide NAMiQ-standard UI/UX wireframes via Ricardo Klement (ZSD).</t>
        </is>
      </c>
      <c r="G9" s="191" t="n">
        <v>6</v>
      </c>
      <c r="H9" s="192" t="inlineStr">
        <is>
          <t>ERP, WMS, or any third-party system integration not stated in requirements.</t>
        </is>
      </c>
    </row>
    <row r="10" ht="28.2" customHeight="1">
      <c r="A10" s="191" t="n">
        <v>7</v>
      </c>
      <c r="B10" s="192" t="inlineStr">
        <is>
          <t>Phase 2 scope (Recipe, Production Order, Batch Report) will be covered under a separate service order.</t>
        </is>
      </c>
      <c r="D10" s="191" t="n">
        <v>7</v>
      </c>
      <c r="E10" s="192" t="inlineStr">
        <is>
          <t>Timely sign-offs on BRD, FDS, ICD, UAT, and Go Live documents.</t>
        </is>
      </c>
      <c r="G10" s="191" t="n">
        <v>7</v>
      </c>
      <c r="H10" s="192" t="inlineStr">
        <is>
          <t>On-site implementation — all activities are performed remotely.</t>
        </is>
      </c>
    </row>
    <row r="11" ht="28.2" customHeight="1">
      <c r="A11" s="191" t="n">
        <v>8</v>
      </c>
      <c r="B11" s="192" t="inlineStr">
        <is>
          <t>All project communication, documentation, and UI will be in English.</t>
        </is>
      </c>
      <c r="D11" s="191" t="n">
        <v>8</v>
      </c>
      <c r="E11" s="192" t="inlineStr">
        <is>
          <t>Provide Panel PCs / client PCs meeting minimum hardware spec for Smart SCADA.</t>
        </is>
      </c>
      <c r="G11" s="191" t="n">
        <v>8</v>
      </c>
      <c r="H11" s="192" t="inlineStr">
        <is>
          <t>Hardware maintenance or support post Go Live.</t>
        </is>
      </c>
    </row>
    <row r="12" ht="28.2" customHeight="1">
      <c r="A12" s="191" t="n">
        <v>9</v>
      </c>
      <c r="B12" s="192" t="inlineStr">
        <is>
          <t>SCIL maintains its own internal development environment.</t>
        </is>
      </c>
      <c r="D12" s="191" t="n">
        <v>9</v>
      </c>
      <c r="E12" s="192" t="inlineStr">
        <is>
          <t>Align IT contact for infrastructure setup and network readiness.</t>
        </is>
      </c>
      <c r="G12" s="191" t="n">
        <v>9</v>
      </c>
      <c r="H12" s="192" t="inlineStr">
        <is>
          <t>Instructor-led training (user manual videos will be provided).</t>
        </is>
      </c>
    </row>
    <row r="13" ht="28.2" customHeight="1">
      <c r="A13" s="191" t="n">
        <v>10</v>
      </c>
      <c r="B13" s="192" t="inlineStr">
        <is>
          <t>Zeppelin project coordinator will be available for timely decisions and sign-offs throughout the project.</t>
        </is>
      </c>
      <c r="D13" s="191" t="n">
        <v>10</v>
      </c>
      <c r="E13" s="192" t="inlineStr">
        <is>
          <t>Ensure PLC OPC UA Server is running and accessible during SIT and UAT.</t>
        </is>
      </c>
      <c r="G13" s="191" t="n">
        <v>10</v>
      </c>
      <c r="H13" s="192" t="inlineStr">
        <is>
          <t>Data migration from existing PVS application to Smart SCADA.</t>
        </is>
      </c>
    </row>
    <row r="14" ht="28.2" customHeight="1">
      <c r="A14" s="191" t="n">
        <v>11</v>
      </c>
      <c r="B14" s="192" t="n"/>
      <c r="D14" s="191" t="n">
        <v>11</v>
      </c>
      <c r="E14" s="192" t="n"/>
      <c r="G14" s="191" t="n">
        <v>11</v>
      </c>
      <c r="H14" s="192" t="n"/>
    </row>
    <row r="15" ht="28.2" customHeight="1">
      <c r="A15" s="191" t="n">
        <v>12</v>
      </c>
      <c r="B15" s="192" t="n"/>
      <c r="D15" s="191" t="n">
        <v>12</v>
      </c>
      <c r="E15" s="192" t="n"/>
      <c r="G15" s="191" t="n">
        <v>12</v>
      </c>
      <c r="H15" s="192" t="n"/>
    </row>
    <row r="16" ht="28.2" customHeight="1">
      <c r="A16" s="191" t="n">
        <v>13</v>
      </c>
      <c r="B16" s="192" t="n"/>
      <c r="D16" s="191" t="n">
        <v>13</v>
      </c>
      <c r="E16" s="192" t="n"/>
      <c r="G16" s="191" t="n">
        <v>13</v>
      </c>
      <c r="H16" s="192" t="n"/>
    </row>
    <row r="17" ht="28.2" customHeight="1">
      <c r="A17" s="191" t="n">
        <v>14</v>
      </c>
      <c r="B17" s="192" t="n"/>
      <c r="D17" s="191" t="n">
        <v>14</v>
      </c>
      <c r="E17" s="192" t="n"/>
      <c r="G17" s="191" t="n">
        <v>14</v>
      </c>
      <c r="H17" s="192" t="n"/>
    </row>
    <row r="18" ht="28.2" customHeight="1">
      <c r="A18" s="191" t="n">
        <v>15</v>
      </c>
      <c r="B18" s="192" t="n"/>
      <c r="D18" s="191" t="n">
        <v>15</v>
      </c>
      <c r="E18" s="192" t="n"/>
      <c r="G18" s="191" t="n">
        <v>15</v>
      </c>
      <c r="H18" s="192" t="n"/>
    </row>
    <row r="19" ht="28.2" customHeight="1">
      <c r="A19" s="191" t="n">
        <v>16</v>
      </c>
      <c r="B19" s="192" t="n"/>
      <c r="D19" s="191" t="n">
        <v>16</v>
      </c>
      <c r="E19" s="192" t="n"/>
      <c r="G19" s="191" t="n">
        <v>16</v>
      </c>
      <c r="H19" s="192" t="n"/>
    </row>
    <row r="20" ht="28.2" customHeight="1">
      <c r="A20" s="191" t="n">
        <v>17</v>
      </c>
      <c r="B20" s="192" t="n"/>
      <c r="D20" s="191" t="n">
        <v>17</v>
      </c>
      <c r="E20" s="192" t="n"/>
      <c r="G20" s="191" t="n">
        <v>17</v>
      </c>
      <c r="H20" s="192" t="n"/>
    </row>
    <row r="21" ht="28.2" customHeight="1">
      <c r="A21" s="191" t="n">
        <v>18</v>
      </c>
      <c r="B21" s="192" t="n"/>
      <c r="D21" s="191" t="n">
        <v>18</v>
      </c>
      <c r="E21" s="192" t="n"/>
      <c r="G21" s="191" t="n">
        <v>18</v>
      </c>
      <c r="H21" s="192" t="n"/>
    </row>
    <row r="22" ht="28.2" customHeight="1">
      <c r="A22" s="191" t="n">
        <v>19</v>
      </c>
      <c r="B22" s="192" t="n"/>
      <c r="D22" s="191" t="n">
        <v>19</v>
      </c>
      <c r="E22" s="192" t="n"/>
      <c r="G22" s="191" t="n">
        <v>19</v>
      </c>
      <c r="H22" s="192" t="n"/>
    </row>
    <row r="23" ht="28.2" customHeight="1">
      <c r="A23" s="191" t="n">
        <v>20</v>
      </c>
      <c r="B23" s="192" t="n"/>
      <c r="D23" s="191" t="n">
        <v>20</v>
      </c>
      <c r="E23" s="192" t="n"/>
      <c r="G23" s="191" t="n">
        <v>20</v>
      </c>
      <c r="H23" s="192" t="n"/>
    </row>
    <row r="24" ht="28.2" customHeight="1">
      <c r="A24" s="191" t="n">
        <v>21</v>
      </c>
      <c r="B24" s="192" t="n"/>
      <c r="D24" s="191" t="n">
        <v>21</v>
      </c>
      <c r="E24" s="192" t="n"/>
      <c r="G24" s="191" t="n">
        <v>21</v>
      </c>
      <c r="H24" s="192" t="n"/>
    </row>
    <row r="25" ht="28.2" customHeight="1">
      <c r="A25" s="191" t="n">
        <v>22</v>
      </c>
      <c r="B25" s="192" t="n"/>
      <c r="D25" s="191" t="n">
        <v>22</v>
      </c>
      <c r="E25" s="192" t="n"/>
      <c r="G25" s="191" t="n">
        <v>22</v>
      </c>
      <c r="H25" s="192" t="n"/>
    </row>
    <row r="26" ht="28.2" customHeight="1">
      <c r="A26" s="191" t="n">
        <v>23</v>
      </c>
      <c r="B26" s="192" t="n"/>
      <c r="D26" s="191" t="n">
        <v>23</v>
      </c>
      <c r="E26" s="192" t="n"/>
      <c r="G26" s="191" t="n">
        <v>23</v>
      </c>
      <c r="H26" s="192" t="n"/>
    </row>
    <row r="27" ht="28.2" customHeight="1">
      <c r="A27" s="191" t="n">
        <v>24</v>
      </c>
      <c r="B27" s="192" t="n"/>
      <c r="D27" s="191" t="n">
        <v>24</v>
      </c>
      <c r="E27" s="192" t="n"/>
      <c r="G27" s="191" t="n">
        <v>24</v>
      </c>
      <c r="H27" s="192" t="n"/>
    </row>
    <row r="28" ht="28.8" customHeight="1">
      <c r="A28" s="191" t="n">
        <v>25</v>
      </c>
      <c r="B28" s="192" t="n"/>
      <c r="D28" s="191" t="n">
        <v>25</v>
      </c>
      <c r="E28" s="192" t="n"/>
      <c r="G28" s="191" t="n">
        <v>25</v>
      </c>
      <c r="H28" s="192" t="n"/>
    </row>
    <row r="29" ht="28.8" customHeight="1">
      <c r="A29" s="191" t="n">
        <v>26</v>
      </c>
      <c r="B29" s="192" t="n"/>
      <c r="D29" s="191" t="n">
        <v>26</v>
      </c>
      <c r="E29" s="192" t="n"/>
      <c r="G29" s="191" t="n">
        <v>26</v>
      </c>
      <c r="H29" s="192" t="n"/>
    </row>
    <row r="30" ht="28.8" customHeight="1">
      <c r="A30" s="191" t="n">
        <v>27</v>
      </c>
      <c r="B30" s="192" t="n"/>
      <c r="D30" s="191" t="n">
        <v>27</v>
      </c>
      <c r="E30" s="192" t="n"/>
      <c r="G30" s="191" t="n">
        <v>27</v>
      </c>
      <c r="H30" s="192" t="n"/>
    </row>
    <row r="31" ht="28.8" customHeight="1">
      <c r="A31" s="191" t="n">
        <v>28</v>
      </c>
      <c r="B31" s="192" t="n"/>
      <c r="D31" s="191" t="n">
        <v>28</v>
      </c>
      <c r="E31" s="192" t="n"/>
      <c r="G31" s="191" t="n">
        <v>28</v>
      </c>
      <c r="H31" s="192" t="n"/>
    </row>
    <row r="32" ht="28.8" customHeight="1">
      <c r="A32" s="191" t="n">
        <v>29</v>
      </c>
      <c r="B32" s="192" t="n"/>
      <c r="D32" s="191" t="n">
        <v>29</v>
      </c>
      <c r="E32" s="192" t="n"/>
      <c r="G32" s="191" t="n">
        <v>29</v>
      </c>
      <c r="H32" s="192" t="n"/>
    </row>
    <row r="33" ht="28.8" customHeight="1">
      <c r="A33" s="191" t="n">
        <v>30</v>
      </c>
      <c r="B33" s="192" t="n"/>
      <c r="D33" s="191" t="n">
        <v>30</v>
      </c>
      <c r="E33" s="192" t="n"/>
      <c r="G33" s="191" t="n">
        <v>30</v>
      </c>
      <c r="H33" s="192" t="n"/>
    </row>
    <row r="34">
      <c r="D34" s="191" t="n"/>
      <c r="E34" s="192" t="n"/>
    </row>
    <row r="35">
      <c r="D35" s="191" t="n"/>
      <c r="E35" s="192" t="n"/>
    </row>
    <row r="36" hidden="1">
      <c r="D36" s="191" t="n"/>
      <c r="E36" s="192" t="n"/>
    </row>
  </sheetData>
  <mergeCells count="4">
    <mergeCell ref="D2:E2"/>
    <mergeCell ref="G2:H2"/>
    <mergeCell ref="A2:B2"/>
    <mergeCell ref="A1:H1"/>
  </mergeCells>
  <pageMargins left="0.7" right="0.7" top="0.75" bottom="0.75" header="0.3" footer="0.3"/>
  <headerFooter>
    <oddHeader>&amp;C&amp;"Aptos"&amp;1 &amp;K008000 Confidential GREEN#_x000d_</oddHeader>
    <oddFooter/>
    <evenHeader/>
    <evenFooter/>
    <firstHeader/>
    <firstFooter/>
  </headerFooter>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7.xml><?xml version="1.0" encoding="utf-8"?>
<worksheet xmlns="http://schemas.openxmlformats.org/spreadsheetml/2006/main">
  <sheetPr>
    <outlinePr summaryBelow="1" summaryRight="1"/>
    <pageSetUpPr/>
  </sheetPr>
  <dimension ref="A1:L25"/>
  <sheetViews>
    <sheetView zoomScaleNormal="100" workbookViewId="0">
      <selection activeCell="E7" sqref="E7"/>
    </sheetView>
  </sheetViews>
  <sheetFormatPr baseColWidth="8" defaultColWidth="0" defaultRowHeight="14.4" zeroHeight="1"/>
  <cols>
    <col width="6" bestFit="1" customWidth="1" min="1" max="1"/>
    <col width="24.109375" customWidth="1" min="2" max="2"/>
    <col width="8.44140625" customWidth="1" min="3" max="3"/>
    <col width="39.44140625" bestFit="1" customWidth="1" min="4" max="4"/>
    <col width="8.33203125" customWidth="1" style="2" min="5" max="8"/>
    <col width="45.6640625" bestFit="1" customWidth="1" min="9" max="9"/>
    <col width="3.33203125" customWidth="1" style="1" min="10" max="11"/>
    <col width="2.6640625" customWidth="1" style="1" min="12" max="12"/>
    <col hidden="1" width="8.88671875" customWidth="1" min="13" max="16384"/>
  </cols>
  <sheetData>
    <row r="1" ht="21" customHeight="1">
      <c r="A1" s="436" t="inlineStr">
        <is>
          <t>MUST BE MODIFIED AS PER PROJECT AND INCLUDED IN TECHNICAL OFFER : Overall RACI Section</t>
        </is>
      </c>
    </row>
    <row r="2" ht="21" customHeight="1">
      <c r="A2" s="156" t="n"/>
      <c r="B2" s="457" t="inlineStr">
        <is>
          <t>Activity</t>
        </is>
      </c>
      <c r="C2" s="457" t="inlineStr">
        <is>
          <t>Type</t>
        </is>
      </c>
      <c r="D2" s="458" t="inlineStr">
        <is>
          <t>Details</t>
        </is>
      </c>
      <c r="E2" s="577" t="inlineStr">
        <is>
          <t>RESPONSIBILITY</t>
        </is>
      </c>
      <c r="H2" s="504" t="n"/>
      <c r="I2" s="459" t="inlineStr">
        <is>
          <t>Remarks</t>
        </is>
      </c>
      <c r="J2" s="271" t="n"/>
      <c r="K2" s="271" t="n"/>
    </row>
    <row r="3" ht="21.6" customHeight="1" thickBot="1">
      <c r="A3" s="156" t="n"/>
      <c r="B3" s="461" t="n"/>
      <c r="C3" s="461" t="n"/>
      <c r="D3" s="510" t="n"/>
      <c r="E3" s="454" t="inlineStr">
        <is>
          <t>DEV</t>
        </is>
      </c>
      <c r="F3" s="455" t="inlineStr">
        <is>
          <t>SIT</t>
        </is>
      </c>
      <c r="G3" s="455" t="inlineStr">
        <is>
          <t>UAT</t>
        </is>
      </c>
      <c r="H3" s="455" t="inlineStr">
        <is>
          <t>PROD</t>
        </is>
      </c>
      <c r="I3" s="578" t="n"/>
    </row>
    <row r="4" ht="25.2" customHeight="1">
      <c r="A4" s="579" t="inlineStr">
        <is>
          <t>Infrastructure</t>
        </is>
      </c>
      <c r="B4" s="580" t="inlineStr">
        <is>
          <t>Required IT Infrastructure.</t>
        </is>
      </c>
      <c r="C4" s="159" t="inlineStr">
        <is>
          <t>Supply</t>
        </is>
      </c>
      <c r="D4" s="160" t="inlineStr">
        <is>
          <t>IT Server and accessories.</t>
        </is>
      </c>
      <c r="E4" s="159" t="inlineStr">
        <is>
          <t>SCIL</t>
        </is>
      </c>
      <c r="F4" s="160" t="inlineStr">
        <is>
          <t>CUST</t>
        </is>
      </c>
      <c r="G4" s="160" t="inlineStr">
        <is>
          <t>CUST</t>
        </is>
      </c>
      <c r="H4" s="160" t="inlineStr">
        <is>
          <t>CUST</t>
        </is>
      </c>
      <c r="I4" s="161" t="inlineStr">
        <is>
          <t>Specification and estimation recommendation by SCIL post FDS Sign off.</t>
        </is>
      </c>
    </row>
    <row r="5" ht="25.2" customHeight="1" thickBot="1">
      <c r="A5" s="522" t="n"/>
      <c r="B5" s="483" t="n"/>
      <c r="C5" s="162" t="inlineStr">
        <is>
          <t>Service</t>
        </is>
      </c>
      <c r="D5" s="162" t="inlineStr">
        <is>
          <t>Data Center setup, VM Creation etc</t>
        </is>
      </c>
      <c r="E5" s="163" t="inlineStr">
        <is>
          <t>SCIL</t>
        </is>
      </c>
      <c r="F5" s="162" t="inlineStr">
        <is>
          <t>CUST</t>
        </is>
      </c>
      <c r="G5" s="162" t="inlineStr">
        <is>
          <t>CUST</t>
        </is>
      </c>
      <c r="H5" s="162" t="inlineStr">
        <is>
          <t>CUST</t>
        </is>
      </c>
      <c r="I5" s="164" t="n"/>
    </row>
    <row r="6" ht="25.2" customHeight="1">
      <c r="A6" s="522" t="n"/>
      <c r="B6" s="581" t="inlineStr">
        <is>
          <t>Required OT Infrastructure 
and Network .</t>
        </is>
      </c>
      <c r="C6" s="165" t="inlineStr">
        <is>
          <t>Supply</t>
        </is>
      </c>
      <c r="D6" s="166" t="inlineStr">
        <is>
          <t>Network components</t>
        </is>
      </c>
      <c r="E6" s="165" t="n"/>
      <c r="F6" s="166" t="inlineStr">
        <is>
          <t>CUST</t>
        </is>
      </c>
      <c r="G6" s="166" t="inlineStr">
        <is>
          <t>CUST</t>
        </is>
      </c>
      <c r="H6" s="166" t="inlineStr">
        <is>
          <t>CUST</t>
        </is>
      </c>
      <c r="I6" s="167" t="n"/>
    </row>
    <row r="7" ht="25.2" customHeight="1" thickBot="1">
      <c r="A7" s="522" t="n"/>
      <c r="B7" s="483" t="n"/>
      <c r="C7" s="168" t="inlineStr">
        <is>
          <t>Service</t>
        </is>
      </c>
      <c r="D7" s="168" t="inlineStr">
        <is>
          <t>Installation and commissioning.</t>
        </is>
      </c>
      <c r="E7" s="169" t="n"/>
      <c r="F7" s="168" t="inlineStr">
        <is>
          <t>CUST</t>
        </is>
      </c>
      <c r="G7" s="168" t="inlineStr">
        <is>
          <t>CUST</t>
        </is>
      </c>
      <c r="H7" s="168" t="inlineStr">
        <is>
          <t>CUST</t>
        </is>
      </c>
      <c r="I7" s="170" t="n"/>
    </row>
    <row r="8" ht="25.2" customHeight="1">
      <c r="A8" s="522" t="n"/>
      <c r="B8" s="582" t="inlineStr">
        <is>
          <t>Required AIDC devices.</t>
        </is>
      </c>
      <c r="C8" s="159" t="inlineStr">
        <is>
          <t>Supply</t>
        </is>
      </c>
      <c r="D8" s="160" t="inlineStr">
        <is>
          <t>Printer, Scanner, HMI etc.</t>
        </is>
      </c>
      <c r="E8" s="159" t="n"/>
      <c r="F8" s="160" t="n"/>
      <c r="G8" s="160" t="n"/>
      <c r="H8" s="160" t="n"/>
      <c r="I8" s="171" t="n"/>
    </row>
    <row r="9" ht="25.2" customHeight="1" thickBot="1">
      <c r="A9" s="522" t="n"/>
      <c r="B9" s="483" t="n"/>
      <c r="C9" s="162" t="inlineStr">
        <is>
          <t>Service</t>
        </is>
      </c>
      <c r="D9" s="162" t="inlineStr">
        <is>
          <t>Installation and commissioning.</t>
        </is>
      </c>
      <c r="E9" s="163" t="n"/>
      <c r="F9" s="162" t="n"/>
      <c r="G9" s="162" t="n"/>
      <c r="H9" s="162" t="n"/>
      <c r="I9" s="172" t="n"/>
    </row>
    <row r="10" ht="25.2" customHeight="1">
      <c r="A10" s="522" t="n"/>
      <c r="B10" s="583" t="inlineStr">
        <is>
          <t>Infrastructure Software License</t>
        </is>
      </c>
      <c r="C10" s="165" t="inlineStr">
        <is>
          <t>Supply</t>
        </is>
      </c>
      <c r="D10" s="166" t="inlineStr">
        <is>
          <t>Database, OS, Antivirus, Monitoring tool etc</t>
        </is>
      </c>
      <c r="E10" s="165" t="n"/>
      <c r="F10" s="166" t="n"/>
      <c r="G10" s="166" t="n"/>
      <c r="H10" s="166" t="n"/>
      <c r="I10" s="167" t="n"/>
    </row>
    <row r="11" ht="25.2" customHeight="1" thickBot="1">
      <c r="A11" s="523" t="n"/>
      <c r="B11" s="510" t="n"/>
      <c r="C11" s="173" t="inlineStr">
        <is>
          <t>Service</t>
        </is>
      </c>
      <c r="D11" s="173" t="inlineStr">
        <is>
          <t>Installation of Database, OS, Antivirus etc</t>
        </is>
      </c>
      <c r="E11" s="174" t="n"/>
      <c r="F11" s="173" t="n"/>
      <c r="G11" s="173" t="n"/>
      <c r="H11" s="173" t="n"/>
      <c r="I11" s="175" t="n"/>
    </row>
    <row r="12" ht="25.2" customHeight="1">
      <c r="A12" s="579" t="inlineStr">
        <is>
          <t>Application</t>
        </is>
      </c>
      <c r="B12" s="584" t="inlineStr">
        <is>
          <t>Required IT Application.</t>
        </is>
      </c>
      <c r="C12" s="159" t="inlineStr">
        <is>
          <t>Supply</t>
        </is>
      </c>
      <c r="D12" s="176" t="inlineStr">
        <is>
          <t>All Siemens Softwares.
 (EXPR,OPIN, RDNL etc)</t>
        </is>
      </c>
      <c r="E12" s="159" t="inlineStr">
        <is>
          <t>SCIL</t>
        </is>
      </c>
      <c r="F12" s="160" t="inlineStr">
        <is>
          <t>CUST</t>
        </is>
      </c>
      <c r="G12" s="160" t="inlineStr">
        <is>
          <t>CUST</t>
        </is>
      </c>
      <c r="H12" s="160" t="inlineStr">
        <is>
          <t>CUST</t>
        </is>
      </c>
      <c r="I12" s="161" t="inlineStr">
        <is>
          <t>Specification and estimation recommendation by SCIL post FDS Sign off.</t>
        </is>
      </c>
    </row>
    <row r="13" ht="25.2" customHeight="1" thickBot="1">
      <c r="A13" s="522" t="n"/>
      <c r="C13" s="163" t="inlineStr">
        <is>
          <t>Service</t>
        </is>
      </c>
      <c r="D13" s="441" t="inlineStr">
        <is>
          <t>All Siemens Softwares installation.</t>
        </is>
      </c>
      <c r="E13" s="163" t="inlineStr">
        <is>
          <t>SCIL</t>
        </is>
      </c>
      <c r="F13" s="162" t="inlineStr">
        <is>
          <t>CUST</t>
        </is>
      </c>
      <c r="G13" s="162" t="inlineStr">
        <is>
          <t>CUST</t>
        </is>
      </c>
      <c r="H13" s="162" t="inlineStr">
        <is>
          <t>CUST</t>
        </is>
      </c>
      <c r="I13" s="164" t="n"/>
    </row>
    <row r="14" ht="25.2" customHeight="1">
      <c r="A14" s="522" t="n"/>
      <c r="C14" s="159" t="inlineStr">
        <is>
          <t>Supply</t>
        </is>
      </c>
      <c r="D14" s="176" t="inlineStr">
        <is>
          <t>All Non Siemens Softwares.
 (Power BI, Tableau, etc)</t>
        </is>
      </c>
      <c r="E14" s="178" t="n"/>
      <c r="F14" s="176" t="n"/>
      <c r="G14" s="176" t="n"/>
      <c r="H14" s="176" t="n"/>
      <c r="I14" s="161" t="n"/>
    </row>
    <row r="15" ht="25.2" customHeight="1" thickBot="1">
      <c r="A15" s="522" t="n"/>
      <c r="B15" s="197" t="n"/>
      <c r="C15" s="163" t="inlineStr">
        <is>
          <t>Service</t>
        </is>
      </c>
      <c r="D15" s="441" t="inlineStr">
        <is>
          <t>All Non Siemens Softwares installation.</t>
        </is>
      </c>
      <c r="E15" s="163" t="n"/>
      <c r="F15" s="162" t="n"/>
      <c r="G15" s="162" t="n"/>
      <c r="H15" s="162" t="n"/>
      <c r="I15" s="172" t="n"/>
    </row>
    <row r="16" ht="25.2" customHeight="1">
      <c r="A16" s="522" t="n"/>
      <c r="B16" s="585" t="inlineStr">
        <is>
          <t>Required OT Application.</t>
        </is>
      </c>
      <c r="C16" s="165" t="inlineStr">
        <is>
          <t>Supply</t>
        </is>
      </c>
      <c r="D16" s="179" t="inlineStr">
        <is>
          <t>All Siemens Automations.
 (WinCC, PLC, etc)</t>
        </is>
      </c>
      <c r="E16" s="165" t="n"/>
      <c r="F16" s="166" t="n"/>
      <c r="G16" s="166" t="n"/>
      <c r="H16" s="166" t="n"/>
      <c r="I16" s="180" t="n"/>
    </row>
    <row r="17" ht="25.2" customHeight="1" thickBot="1">
      <c r="A17" s="522" t="n"/>
      <c r="C17" s="169" t="inlineStr">
        <is>
          <t>Service</t>
        </is>
      </c>
      <c r="D17" s="444" t="inlineStr">
        <is>
          <t>All Siemens Automations installation.</t>
        </is>
      </c>
      <c r="E17" s="182" t="n"/>
      <c r="F17" s="444" t="n"/>
      <c r="G17" s="444" t="n"/>
      <c r="H17" s="444" t="n"/>
      <c r="I17" s="170" t="n"/>
    </row>
    <row r="18" ht="25.2" customHeight="1">
      <c r="A18" s="522" t="n"/>
      <c r="C18" s="165" t="inlineStr">
        <is>
          <t>Supply</t>
        </is>
      </c>
      <c r="D18" s="179" t="inlineStr">
        <is>
          <t>All Non Siemens Automations.
 (OSI PI , Kepware etc)</t>
        </is>
      </c>
      <c r="E18" s="165" t="n"/>
      <c r="F18" s="166" t="n"/>
      <c r="G18" s="166" t="n"/>
      <c r="H18" s="166" t="n"/>
      <c r="I18" s="180" t="n"/>
    </row>
    <row r="19" ht="25.2" customHeight="1" thickBot="1">
      <c r="A19" s="522" t="n"/>
      <c r="B19" s="197" t="n"/>
      <c r="C19" s="169" t="inlineStr">
        <is>
          <t>Service</t>
        </is>
      </c>
      <c r="D19" s="444" t="inlineStr">
        <is>
          <t>All Non Siemens Automations installation.</t>
        </is>
      </c>
      <c r="E19" s="169" t="n"/>
      <c r="F19" s="168" t="n"/>
      <c r="G19" s="168" t="n"/>
      <c r="H19" s="168" t="n"/>
      <c r="I19" s="183" t="n"/>
    </row>
    <row r="20" ht="25.2" customHeight="1">
      <c r="A20" s="522" t="n"/>
      <c r="B20" s="586" t="inlineStr">
        <is>
          <t>Other dependant Applications.</t>
        </is>
      </c>
      <c r="C20" s="159" t="inlineStr">
        <is>
          <t>Supply</t>
        </is>
      </c>
      <c r="D20" s="176" t="inlineStr">
        <is>
          <t>IT Applications to be interfaced.
(ERP, PLM, ASRS, WMS etc )</t>
        </is>
      </c>
      <c r="E20" s="159" t="n"/>
      <c r="F20" s="160" t="n"/>
      <c r="G20" s="160" t="n"/>
      <c r="H20" s="160" t="n"/>
      <c r="I20" s="171" t="n"/>
    </row>
    <row r="21" ht="25.2" customHeight="1" thickBot="1">
      <c r="A21" s="522" t="n"/>
      <c r="C21" s="163" t="inlineStr">
        <is>
          <t>Service</t>
        </is>
      </c>
      <c r="D21" s="441" t="inlineStr">
        <is>
          <t>Interface development and readiness.</t>
        </is>
      </c>
      <c r="E21" s="163" t="n"/>
      <c r="F21" s="162" t="n"/>
      <c r="G21" s="162" t="n"/>
      <c r="H21" s="162" t="n"/>
      <c r="I21" s="172" t="n"/>
    </row>
    <row r="22" ht="25.2" customHeight="1">
      <c r="A22" s="522" t="n"/>
      <c r="C22" s="159" t="inlineStr">
        <is>
          <t>Supply</t>
        </is>
      </c>
      <c r="D22" s="176" t="inlineStr">
        <is>
          <t>OT Applications to be interfaced.
(PLC, HMI, AGV etc )</t>
        </is>
      </c>
      <c r="E22" s="159" t="n"/>
      <c r="F22" s="160" t="n"/>
      <c r="G22" s="160" t="n"/>
      <c r="H22" s="160" t="n"/>
      <c r="I22" s="171" t="n"/>
    </row>
    <row r="23" ht="25.2" customHeight="1" thickBot="1">
      <c r="A23" s="523" t="n"/>
      <c r="B23" s="461" t="n"/>
      <c r="C23" s="185" t="inlineStr">
        <is>
          <t>Service</t>
        </is>
      </c>
      <c r="D23" s="447" t="inlineStr">
        <is>
          <t>Interface development and readiness.</t>
        </is>
      </c>
      <c r="E23" s="185" t="n"/>
      <c r="F23" s="186" t="n"/>
      <c r="G23" s="186" t="n"/>
      <c r="H23" s="186" t="n"/>
      <c r="I23" s="187" t="n"/>
    </row>
    <row r="24">
      <c r="A24" s="1" t="n"/>
      <c r="B24" s="1" t="n"/>
      <c r="C24" s="1" t="n"/>
      <c r="D24" s="1" t="n"/>
      <c r="E24" s="162" t="n"/>
      <c r="F24" s="162" t="n"/>
      <c r="G24" s="162" t="n"/>
      <c r="H24" s="162" t="n"/>
      <c r="I24" s="1" t="n"/>
    </row>
    <row r="25">
      <c r="A25" s="1" t="n"/>
      <c r="B25" s="1" t="n"/>
      <c r="C25" s="1" t="n"/>
      <c r="D25" s="1" t="n"/>
      <c r="E25" s="162" t="n"/>
      <c r="F25" s="162" t="n"/>
      <c r="G25" s="162" t="n"/>
      <c r="H25" s="162" t="n"/>
      <c r="I25" s="1" t="n"/>
    </row>
  </sheetData>
  <mergeCells count="15">
    <mergeCell ref="A4:A11"/>
    <mergeCell ref="B4:B5"/>
    <mergeCell ref="B16:B19"/>
    <mergeCell ref="B20:B23"/>
    <mergeCell ref="B12:B15"/>
    <mergeCell ref="D2:D3"/>
    <mergeCell ref="B8:B9"/>
    <mergeCell ref="B2:B3"/>
    <mergeCell ref="A12:A23"/>
    <mergeCell ref="B10:B11"/>
    <mergeCell ref="C2:C3"/>
    <mergeCell ref="B6:B7"/>
    <mergeCell ref="A1:K1"/>
    <mergeCell ref="E2:H2"/>
    <mergeCell ref="I2:I3"/>
  </mergeCells>
  <pageMargins left="0.7" right="0.7" top="0.75" bottom="0.75" header="0.3" footer="0.3"/>
  <headerFooter>
    <oddHeader>&amp;C&amp;"Aptos"&amp;1 &amp;K008000 Confidential GREEN#_x000d_</oddHeader>
    <oddFooter/>
    <evenHeader/>
    <evenFooter/>
    <firstHeader/>
    <firstFooter/>
  </headerFooter>
</worksheet>
</file>

<file path=xl/worksheets/sheet8.xml><?xml version="1.0" encoding="utf-8"?>
<worksheet xmlns="http://schemas.openxmlformats.org/spreadsheetml/2006/main">
  <sheetPr>
    <tabColor rgb="FF00B050"/>
    <outlinePr summaryBelow="1" summaryRight="1"/>
    <pageSetUpPr/>
  </sheetPr>
  <dimension ref="A1:K59"/>
  <sheetViews>
    <sheetView zoomScale="85" zoomScaleNormal="85" workbookViewId="0">
      <pane ySplit="2" topLeftCell="A3" activePane="bottomLeft" state="frozen"/>
      <selection activeCell="G22" sqref="G22"/>
      <selection pane="bottomLeft" activeCell="D12" sqref="D12"/>
    </sheetView>
  </sheetViews>
  <sheetFormatPr baseColWidth="8" defaultColWidth="0" defaultRowHeight="14.4" zeroHeight="1"/>
  <cols>
    <col width="6.77734375" customWidth="1" min="1" max="1"/>
    <col width="16.77734375" customWidth="1" min="2" max="2"/>
    <col width="29.33203125" customWidth="1" min="3" max="3"/>
    <col width="91.6640625" customWidth="1" min="4" max="4"/>
    <col width="9.5546875" bestFit="1" customWidth="1" min="5" max="5"/>
    <col width="10.5546875" bestFit="1" customWidth="1" min="6" max="6"/>
    <col width="11.5546875" customWidth="1" min="7" max="7"/>
    <col width="9.109375" customWidth="1" min="8" max="8"/>
    <col hidden="1" width="9.109375" customWidth="1" min="9" max="16384"/>
  </cols>
  <sheetData>
    <row r="1" ht="21" customHeight="1">
      <c r="A1" s="436" t="inlineStr">
        <is>
          <t>MUST BE MODIFIED AS PER PROJECT AND INCLUDED IN TECHNICAL OFFER : Project RACI Section</t>
        </is>
      </c>
    </row>
    <row r="2" ht="18" customFormat="1" customHeight="1" s="1">
      <c r="A2" s="148" t="inlineStr">
        <is>
          <t>S.No</t>
        </is>
      </c>
      <c r="B2" s="149" t="inlineStr">
        <is>
          <t>Phase</t>
        </is>
      </c>
      <c r="C2" s="149" t="inlineStr">
        <is>
          <t>Area</t>
        </is>
      </c>
      <c r="D2" s="149" t="inlineStr">
        <is>
          <t>Activity</t>
        </is>
      </c>
      <c r="E2" s="149" t="inlineStr">
        <is>
          <t>SCIL</t>
        </is>
      </c>
      <c r="F2" s="149" t="inlineStr">
        <is>
          <t>CUST</t>
        </is>
      </c>
      <c r="G2" s="149" t="inlineStr">
        <is>
          <t>ECST</t>
        </is>
      </c>
      <c r="H2" s="270" t="n"/>
    </row>
    <row r="3" customFormat="1" s="1">
      <c r="A3" s="267" t="n">
        <v>1</v>
      </c>
      <c r="B3" s="268" t="inlineStr">
        <is>
          <t>Requirement</t>
        </is>
      </c>
      <c r="C3" s="268" t="inlineStr">
        <is>
          <t>Workshop</t>
        </is>
      </c>
      <c r="D3" s="268" t="inlineStr">
        <is>
          <t>Requirement gathering workshops arrangement with all Stakeholders.</t>
        </is>
      </c>
      <c r="E3" s="269" t="inlineStr">
        <is>
          <t>R</t>
        </is>
      </c>
      <c r="F3" s="269" t="inlineStr">
        <is>
          <t>A</t>
        </is>
      </c>
      <c r="G3" s="269" t="inlineStr">
        <is>
          <t>C</t>
        </is>
      </c>
      <c r="H3" s="270" t="n"/>
    </row>
    <row r="4" customFormat="1" s="1">
      <c r="A4" s="267" t="n">
        <v>2</v>
      </c>
      <c r="B4" s="268" t="inlineStr">
        <is>
          <t>Requirement</t>
        </is>
      </c>
      <c r="C4" s="268" t="inlineStr">
        <is>
          <t>Documentation</t>
        </is>
      </c>
      <c r="D4" s="268" t="inlineStr">
        <is>
          <t>Business Requirement Document creation.</t>
        </is>
      </c>
      <c r="E4" s="269" t="inlineStr">
        <is>
          <t>R</t>
        </is>
      </c>
      <c r="F4" s="269" t="inlineStr">
        <is>
          <t>C</t>
        </is>
      </c>
      <c r="G4" s="269" t="inlineStr">
        <is>
          <t>I</t>
        </is>
      </c>
      <c r="H4" s="270" t="n"/>
    </row>
    <row r="5" customFormat="1" s="1">
      <c r="A5" s="267" t="n">
        <v>3</v>
      </c>
      <c r="B5" s="268" t="inlineStr">
        <is>
          <t>Requirement</t>
        </is>
      </c>
      <c r="C5" s="268" t="inlineStr">
        <is>
          <t>Requirement Checkpoint.</t>
        </is>
      </c>
      <c r="D5" s="268" t="inlineStr">
        <is>
          <t>Business Requirement Document Sign Off</t>
        </is>
      </c>
      <c r="E5" s="269" t="inlineStr">
        <is>
          <t>C</t>
        </is>
      </c>
      <c r="F5" s="269" t="inlineStr">
        <is>
          <t>A</t>
        </is>
      </c>
      <c r="G5" s="269" t="inlineStr">
        <is>
          <t>R</t>
        </is>
      </c>
      <c r="H5" s="270" t="n"/>
    </row>
    <row r="6" customFormat="1" s="1">
      <c r="A6" s="267" t="n">
        <v>4</v>
      </c>
      <c r="B6" s="268" t="inlineStr">
        <is>
          <t>Requirement</t>
        </is>
      </c>
      <c r="C6" s="268" t="inlineStr">
        <is>
          <t>Documentation</t>
        </is>
      </c>
      <c r="D6" s="268" t="inlineStr">
        <is>
          <t>User Acceptance Criteria creation</t>
        </is>
      </c>
      <c r="E6" s="269" t="inlineStr">
        <is>
          <t>R</t>
        </is>
      </c>
      <c r="F6" s="269" t="inlineStr">
        <is>
          <t>C</t>
        </is>
      </c>
      <c r="G6" s="269" t="inlineStr">
        <is>
          <t>A</t>
        </is>
      </c>
      <c r="H6" s="270" t="n"/>
    </row>
    <row r="7" customFormat="1" s="1">
      <c r="A7" s="267" t="n">
        <v>5</v>
      </c>
      <c r="B7" s="268" t="inlineStr">
        <is>
          <t>Designing</t>
        </is>
      </c>
      <c r="C7" s="268" t="inlineStr">
        <is>
          <t>Workshop</t>
        </is>
      </c>
      <c r="D7" s="268" t="inlineStr">
        <is>
          <t>Conference room pilot with process owners/ business heads on need basis.</t>
        </is>
      </c>
      <c r="E7" s="269" t="inlineStr">
        <is>
          <t>R</t>
        </is>
      </c>
      <c r="F7" s="269" t="inlineStr">
        <is>
          <t>A</t>
        </is>
      </c>
      <c r="G7" s="269" t="inlineStr">
        <is>
          <t>C</t>
        </is>
      </c>
      <c r="H7" s="270" t="n"/>
    </row>
    <row r="8" customFormat="1" s="1">
      <c r="A8" s="267" t="n">
        <v>6</v>
      </c>
      <c r="B8" s="268" t="inlineStr">
        <is>
          <t>Designing</t>
        </is>
      </c>
      <c r="C8" s="268" t="inlineStr">
        <is>
          <t>Documentation</t>
        </is>
      </c>
      <c r="D8" s="268" t="inlineStr">
        <is>
          <t>Data requirements and availibility of all application and interfaces</t>
        </is>
      </c>
      <c r="E8" s="269" t="inlineStr">
        <is>
          <t>C</t>
        </is>
      </c>
      <c r="F8" s="269" t="inlineStr">
        <is>
          <t>A</t>
        </is>
      </c>
      <c r="G8" s="269" t="inlineStr">
        <is>
          <t>R</t>
        </is>
      </c>
      <c r="H8" s="270" t="n"/>
    </row>
    <row r="9" customFormat="1" s="1">
      <c r="A9" s="267" t="n">
        <v>7</v>
      </c>
      <c r="B9" s="268" t="inlineStr">
        <is>
          <t>Designing</t>
        </is>
      </c>
      <c r="C9" s="268" t="inlineStr">
        <is>
          <t>Infrastructure</t>
        </is>
      </c>
      <c r="D9" s="268" t="inlineStr">
        <is>
          <t>Server sizing &amp; specification recommendation.</t>
        </is>
      </c>
      <c r="E9" s="269" t="inlineStr">
        <is>
          <t>C</t>
        </is>
      </c>
      <c r="F9" s="269" t="inlineStr">
        <is>
          <t>C</t>
        </is>
      </c>
      <c r="G9" s="269" t="inlineStr">
        <is>
          <t>R</t>
        </is>
      </c>
      <c r="H9" s="270" t="n"/>
    </row>
    <row r="10" customFormat="1" s="1">
      <c r="A10" s="267" t="n">
        <v>8</v>
      </c>
      <c r="B10" s="268" t="inlineStr">
        <is>
          <t>Designing</t>
        </is>
      </c>
      <c r="C10" s="268" t="inlineStr">
        <is>
          <t>Hardware</t>
        </is>
      </c>
      <c r="D10" s="268" t="inlineStr">
        <is>
          <t>AIDC ( Scarnner,printer,PDA etc ) specification recommendation .</t>
        </is>
      </c>
      <c r="E10" s="269" t="inlineStr">
        <is>
          <t>C</t>
        </is>
      </c>
      <c r="F10" s="269" t="inlineStr">
        <is>
          <t>C</t>
        </is>
      </c>
      <c r="G10" s="269" t="inlineStr">
        <is>
          <t>R</t>
        </is>
      </c>
      <c r="H10" s="270" t="n"/>
    </row>
    <row r="11" customFormat="1" s="1">
      <c r="A11" s="267" t="n">
        <v>9</v>
      </c>
      <c r="B11" s="268" t="inlineStr">
        <is>
          <t>Designing</t>
        </is>
      </c>
      <c r="C11" s="268" t="inlineStr">
        <is>
          <t>Application</t>
        </is>
      </c>
      <c r="D11" s="268" t="inlineStr">
        <is>
          <t>Overall Solution architecture document creation.</t>
        </is>
      </c>
      <c r="E11" s="269" t="inlineStr">
        <is>
          <t>R</t>
        </is>
      </c>
      <c r="F11" s="269" t="inlineStr">
        <is>
          <t>A</t>
        </is>
      </c>
      <c r="G11" s="269" t="inlineStr">
        <is>
          <t>C</t>
        </is>
      </c>
      <c r="H11" s="270" t="n"/>
    </row>
    <row r="12" customFormat="1" s="1">
      <c r="A12" s="267" t="n">
        <v>10</v>
      </c>
      <c r="B12" s="268" t="inlineStr">
        <is>
          <t>Designing</t>
        </is>
      </c>
      <c r="C12" s="268" t="inlineStr">
        <is>
          <t>Application</t>
        </is>
      </c>
      <c r="D12" s="268" t="inlineStr">
        <is>
          <t>Infrastructure architecture document creation.</t>
        </is>
      </c>
      <c r="E12" s="269" t="inlineStr">
        <is>
          <t>R</t>
        </is>
      </c>
      <c r="F12" s="269" t="inlineStr">
        <is>
          <t>A</t>
        </is>
      </c>
      <c r="G12" s="269" t="inlineStr">
        <is>
          <t>C</t>
        </is>
      </c>
      <c r="H12" s="270" t="n"/>
    </row>
    <row r="13" customFormat="1" s="1">
      <c r="A13" s="267" t="n">
        <v>11</v>
      </c>
      <c r="B13" s="268" t="inlineStr">
        <is>
          <t>Designing</t>
        </is>
      </c>
      <c r="C13" s="268" t="inlineStr">
        <is>
          <t>Application</t>
        </is>
      </c>
      <c r="D13" s="268" t="inlineStr">
        <is>
          <t>Database requirements &amp; specifications</t>
        </is>
      </c>
      <c r="E13" s="269" t="inlineStr">
        <is>
          <t>C</t>
        </is>
      </c>
      <c r="F13" s="269" t="inlineStr">
        <is>
          <t>A</t>
        </is>
      </c>
      <c r="G13" s="269" t="inlineStr">
        <is>
          <t>R</t>
        </is>
      </c>
      <c r="H13" s="270" t="n"/>
    </row>
    <row r="14" customFormat="1" s="1">
      <c r="A14" s="267" t="n">
        <v>12</v>
      </c>
      <c r="B14" s="268" t="inlineStr">
        <is>
          <t>Designing</t>
        </is>
      </c>
      <c r="C14" s="268" t="inlineStr">
        <is>
          <t>Documentation</t>
        </is>
      </c>
      <c r="D14" s="268" t="inlineStr">
        <is>
          <t>Functional design documentation.</t>
        </is>
      </c>
      <c r="E14" s="269" t="inlineStr">
        <is>
          <t>R</t>
        </is>
      </c>
      <c r="F14" s="269" t="inlineStr">
        <is>
          <t>A</t>
        </is>
      </c>
      <c r="G14" s="269" t="inlineStr">
        <is>
          <t>C</t>
        </is>
      </c>
      <c r="H14" s="270" t="n"/>
    </row>
    <row r="15" customFormat="1" s="1">
      <c r="A15" s="267" t="n">
        <v>13</v>
      </c>
      <c r="B15" s="268" t="inlineStr">
        <is>
          <t>Designing</t>
        </is>
      </c>
      <c r="C15" s="268" t="inlineStr">
        <is>
          <t>Documentation</t>
        </is>
      </c>
      <c r="D15" s="268" t="inlineStr">
        <is>
          <t>Interface Control design documentation</t>
        </is>
      </c>
      <c r="E15" s="269" t="inlineStr">
        <is>
          <t>R</t>
        </is>
      </c>
      <c r="F15" s="269" t="inlineStr">
        <is>
          <t>A</t>
        </is>
      </c>
      <c r="G15" s="269" t="inlineStr">
        <is>
          <t>C</t>
        </is>
      </c>
      <c r="H15" s="270" t="n"/>
    </row>
    <row r="16" customFormat="1" s="1">
      <c r="A16" s="267" t="n">
        <v>14</v>
      </c>
      <c r="B16" s="268" t="inlineStr">
        <is>
          <t>Designing</t>
        </is>
      </c>
      <c r="C16" s="268" t="inlineStr">
        <is>
          <t>Management</t>
        </is>
      </c>
      <c r="D16" s="268" t="inlineStr">
        <is>
          <t>Cordination with all OEM's for disucssion and follow ICD.</t>
        </is>
      </c>
      <c r="E16" s="269" t="inlineStr">
        <is>
          <t>C</t>
        </is>
      </c>
      <c r="F16" s="269" t="inlineStr">
        <is>
          <t>C</t>
        </is>
      </c>
      <c r="G16" s="269" t="inlineStr">
        <is>
          <t>R</t>
        </is>
      </c>
      <c r="H16" s="270" t="n"/>
    </row>
    <row r="17" customFormat="1" s="1">
      <c r="A17" s="267" t="n">
        <v>15</v>
      </c>
      <c r="B17" s="268" t="inlineStr">
        <is>
          <t>Designing</t>
        </is>
      </c>
      <c r="C17" s="268" t="inlineStr">
        <is>
          <t>Integration Checkpoint.</t>
        </is>
      </c>
      <c r="D17" s="268" t="inlineStr">
        <is>
          <t>Interface Control design Sign Off.</t>
        </is>
      </c>
      <c r="E17" s="269" t="inlineStr">
        <is>
          <t>C</t>
        </is>
      </c>
      <c r="F17" s="269" t="inlineStr">
        <is>
          <t>A</t>
        </is>
      </c>
      <c r="G17" s="269" t="inlineStr">
        <is>
          <t>R</t>
        </is>
      </c>
      <c r="H17" s="270" t="n"/>
    </row>
    <row r="18" customFormat="1" s="1">
      <c r="A18" s="267" t="n">
        <v>16</v>
      </c>
      <c r="B18" s="268" t="inlineStr">
        <is>
          <t>Designing</t>
        </is>
      </c>
      <c r="C18" s="268" t="inlineStr">
        <is>
          <t>Solution Checkpoint.</t>
        </is>
      </c>
      <c r="D18" s="268" t="inlineStr">
        <is>
          <t>Functional design Sign Off.</t>
        </is>
      </c>
      <c r="E18" s="269" t="inlineStr">
        <is>
          <t>C</t>
        </is>
      </c>
      <c r="F18" s="269" t="inlineStr">
        <is>
          <t>A</t>
        </is>
      </c>
      <c r="G18" s="269" t="inlineStr">
        <is>
          <t>R</t>
        </is>
      </c>
      <c r="H18" s="270" t="n"/>
    </row>
    <row r="19" customFormat="1" s="1">
      <c r="A19" s="267" t="n">
        <v>17</v>
      </c>
      <c r="B19" s="268" t="inlineStr">
        <is>
          <t>Designing</t>
        </is>
      </c>
      <c r="C19" s="268" t="inlineStr">
        <is>
          <t>Acceptance Checkpoint.</t>
        </is>
      </c>
      <c r="D19" s="268" t="inlineStr">
        <is>
          <t>User Acceptance Criteria Sign Off.</t>
        </is>
      </c>
      <c r="E19" s="269" t="inlineStr">
        <is>
          <t>C</t>
        </is>
      </c>
      <c r="F19" s="269" t="inlineStr">
        <is>
          <t>A</t>
        </is>
      </c>
      <c r="G19" s="269" t="inlineStr">
        <is>
          <t>R</t>
        </is>
      </c>
      <c r="H19" s="270" t="n"/>
    </row>
    <row r="20" customFormat="1" s="1">
      <c r="A20" s="267" t="n">
        <v>18</v>
      </c>
      <c r="B20" s="268" t="inlineStr">
        <is>
          <t>Designing</t>
        </is>
      </c>
      <c r="C20" s="268" t="inlineStr">
        <is>
          <t>Documentation</t>
        </is>
      </c>
      <c r="D20" s="268" t="inlineStr">
        <is>
          <t>Traceability matrix against Requirement IDs</t>
        </is>
      </c>
      <c r="E20" s="269" t="inlineStr">
        <is>
          <t>R</t>
        </is>
      </c>
      <c r="F20" s="269" t="inlineStr">
        <is>
          <t>A</t>
        </is>
      </c>
      <c r="G20" s="269" t="inlineStr">
        <is>
          <t>I</t>
        </is>
      </c>
      <c r="H20" s="270" t="n"/>
    </row>
    <row r="21" customFormat="1" s="1">
      <c r="A21" s="267" t="n">
        <v>19</v>
      </c>
      <c r="B21" s="268" t="inlineStr">
        <is>
          <t>Development</t>
        </is>
      </c>
      <c r="C21" s="268" t="inlineStr">
        <is>
          <t>Data</t>
        </is>
      </c>
      <c r="D21" s="268" t="inlineStr">
        <is>
          <t>Master and transactional data template.</t>
        </is>
      </c>
      <c r="E21" s="269" t="inlineStr">
        <is>
          <t>R</t>
        </is>
      </c>
      <c r="F21" s="269" t="inlineStr">
        <is>
          <t>C</t>
        </is>
      </c>
      <c r="G21" s="269" t="inlineStr">
        <is>
          <t>I</t>
        </is>
      </c>
      <c r="H21" s="270" t="n"/>
    </row>
    <row r="22" customFormat="1" s="1">
      <c r="A22" s="267" t="n">
        <v>20</v>
      </c>
      <c r="B22" s="268" t="inlineStr">
        <is>
          <t>Development</t>
        </is>
      </c>
      <c r="C22" s="268" t="inlineStr">
        <is>
          <t>Data</t>
        </is>
      </c>
      <c r="D22" s="268" t="inlineStr">
        <is>
          <t>Master and transactional data availability in template.</t>
        </is>
      </c>
      <c r="E22" s="269" t="inlineStr">
        <is>
          <t>I</t>
        </is>
      </c>
      <c r="F22" s="269" t="inlineStr">
        <is>
          <t>C</t>
        </is>
      </c>
      <c r="G22" s="269" t="inlineStr">
        <is>
          <t>R</t>
        </is>
      </c>
      <c r="H22" s="270" t="n"/>
    </row>
    <row r="23" customFormat="1" s="1">
      <c r="A23" s="267" t="n">
        <v>21</v>
      </c>
      <c r="B23" s="268" t="inlineStr">
        <is>
          <t>Development</t>
        </is>
      </c>
      <c r="C23" s="268" t="inlineStr">
        <is>
          <t>Data</t>
        </is>
      </c>
      <c r="D23" s="268" t="inlineStr">
        <is>
          <t>Master Data upload.</t>
        </is>
      </c>
      <c r="E23" s="269" t="inlineStr">
        <is>
          <t>R</t>
        </is>
      </c>
      <c r="F23" s="269" t="inlineStr">
        <is>
          <t>C</t>
        </is>
      </c>
      <c r="G23" s="269" t="inlineStr">
        <is>
          <t>I</t>
        </is>
      </c>
      <c r="H23" s="270" t="n"/>
    </row>
    <row r="24" customFormat="1" s="1">
      <c r="A24" s="267" t="n">
        <v>22</v>
      </c>
      <c r="B24" s="268" t="inlineStr">
        <is>
          <t>SIT</t>
        </is>
      </c>
      <c r="C24" s="268" t="inlineStr">
        <is>
          <t>Management</t>
        </is>
      </c>
      <c r="D24" s="268" t="inlineStr">
        <is>
          <t>Readiness of all OEM's interfaces for Integration testing.</t>
        </is>
      </c>
      <c r="E24" s="269" t="inlineStr">
        <is>
          <t>I</t>
        </is>
      </c>
      <c r="F24" s="269" t="inlineStr">
        <is>
          <t>C</t>
        </is>
      </c>
      <c r="G24" s="269" t="inlineStr">
        <is>
          <t>R</t>
        </is>
      </c>
      <c r="H24" s="270" t="n"/>
    </row>
    <row r="25" customFormat="1" s="1">
      <c r="A25" s="267" t="n">
        <v>23</v>
      </c>
      <c r="B25" s="268" t="inlineStr">
        <is>
          <t>SIT</t>
        </is>
      </c>
      <c r="C25" s="268" t="inlineStr">
        <is>
          <t>Demo</t>
        </is>
      </c>
      <c r="D25" s="268" t="inlineStr">
        <is>
          <t>Demo of possible feature.</t>
        </is>
      </c>
      <c r="E25" s="269" t="inlineStr">
        <is>
          <t>R</t>
        </is>
      </c>
      <c r="F25" s="269" t="inlineStr">
        <is>
          <t>A</t>
        </is>
      </c>
      <c r="G25" s="269" t="inlineStr">
        <is>
          <t>C</t>
        </is>
      </c>
      <c r="H25" s="270" t="n"/>
    </row>
    <row r="26" customFormat="1" s="1">
      <c r="A26" s="267" t="n">
        <v>24</v>
      </c>
      <c r="B26" s="268" t="inlineStr">
        <is>
          <t>SIT</t>
        </is>
      </c>
      <c r="C26" s="268" t="inlineStr">
        <is>
          <t>Demo</t>
        </is>
      </c>
      <c r="D26" s="268" t="inlineStr">
        <is>
          <t>Demo feedback and acceptance.</t>
        </is>
      </c>
      <c r="E26" s="269" t="inlineStr">
        <is>
          <t>R</t>
        </is>
      </c>
      <c r="F26" s="269" t="inlineStr">
        <is>
          <t>A</t>
        </is>
      </c>
      <c r="G26" s="269" t="inlineStr">
        <is>
          <t>C</t>
        </is>
      </c>
      <c r="H26" s="270" t="n"/>
    </row>
    <row r="27" customFormat="1" s="1">
      <c r="A27" s="267" t="n">
        <v>25</v>
      </c>
      <c r="B27" s="268" t="inlineStr">
        <is>
          <t>Testing</t>
        </is>
      </c>
      <c r="C27" s="268" t="inlineStr">
        <is>
          <t>Application</t>
        </is>
      </c>
      <c r="D27" s="268" t="inlineStr">
        <is>
          <t>User Acceptance Criteria Testing</t>
        </is>
      </c>
      <c r="E27" s="269" t="inlineStr">
        <is>
          <t>C</t>
        </is>
      </c>
      <c r="F27" s="269" t="inlineStr">
        <is>
          <t>A</t>
        </is>
      </c>
      <c r="G27" s="269" t="inlineStr">
        <is>
          <t>R</t>
        </is>
      </c>
      <c r="H27" s="270" t="n"/>
    </row>
    <row r="28" customFormat="1" s="1">
      <c r="A28" s="267" t="n">
        <v>26</v>
      </c>
      <c r="B28" s="268" t="inlineStr">
        <is>
          <t>Testing</t>
        </is>
      </c>
      <c r="C28" s="268" t="inlineStr">
        <is>
          <t>Documentation</t>
        </is>
      </c>
      <c r="D28" s="268" t="inlineStr">
        <is>
          <t>UAT test plan</t>
        </is>
      </c>
      <c r="E28" s="269" t="inlineStr">
        <is>
          <t>R</t>
        </is>
      </c>
      <c r="F28" s="269" t="inlineStr">
        <is>
          <t>A</t>
        </is>
      </c>
      <c r="G28" s="269" t="inlineStr">
        <is>
          <t>C</t>
        </is>
      </c>
      <c r="H28" s="270" t="n"/>
    </row>
    <row r="29" customFormat="1" s="1">
      <c r="A29" s="267" t="n">
        <v>27</v>
      </c>
      <c r="B29" s="268" t="inlineStr">
        <is>
          <t>Testing</t>
        </is>
      </c>
      <c r="C29" s="268" t="inlineStr">
        <is>
          <t>Documentation</t>
        </is>
      </c>
      <c r="D29" s="268" t="inlineStr">
        <is>
          <t>UAT Sign off</t>
        </is>
      </c>
      <c r="E29" s="269" t="inlineStr">
        <is>
          <t>C</t>
        </is>
      </c>
      <c r="F29" s="269" t="inlineStr">
        <is>
          <t>A</t>
        </is>
      </c>
      <c r="G29" s="269" t="inlineStr">
        <is>
          <t>R</t>
        </is>
      </c>
      <c r="H29" s="270" t="n"/>
    </row>
    <row r="30" customFormat="1" s="1">
      <c r="A30" s="267" t="n">
        <v>28</v>
      </c>
      <c r="B30" s="268" t="inlineStr">
        <is>
          <t>Commissioning</t>
        </is>
      </c>
      <c r="C30" s="268" t="inlineStr">
        <is>
          <t>Application</t>
        </is>
      </c>
      <c r="D30" s="268" t="inlineStr">
        <is>
          <t>MES Products installation.</t>
        </is>
      </c>
      <c r="E30" s="269" t="inlineStr">
        <is>
          <t>R</t>
        </is>
      </c>
      <c r="F30" s="269" t="inlineStr">
        <is>
          <t>A</t>
        </is>
      </c>
      <c r="G30" s="269" t="inlineStr">
        <is>
          <t>I</t>
        </is>
      </c>
      <c r="H30" s="270" t="n"/>
    </row>
    <row r="31" customFormat="1" s="1">
      <c r="A31" s="267" t="n">
        <v>29</v>
      </c>
      <c r="B31" s="268" t="inlineStr">
        <is>
          <t>Commissioning</t>
        </is>
      </c>
      <c r="C31" s="268" t="inlineStr">
        <is>
          <t>Infrastructure</t>
        </is>
      </c>
      <c r="D31" s="268" t="inlineStr">
        <is>
          <t>VM, Database and other 3rd party application installation.</t>
        </is>
      </c>
      <c r="E31" s="269" t="inlineStr">
        <is>
          <t>C</t>
        </is>
      </c>
      <c r="F31" s="269" t="inlineStr">
        <is>
          <t>C</t>
        </is>
      </c>
      <c r="G31" s="269" t="inlineStr">
        <is>
          <t>R</t>
        </is>
      </c>
      <c r="H31" s="270" t="n"/>
    </row>
    <row r="32" customFormat="1" s="1">
      <c r="A32" s="267" t="n">
        <v>30</v>
      </c>
      <c r="B32" s="268" t="inlineStr">
        <is>
          <t>Commissioning</t>
        </is>
      </c>
      <c r="C32" s="268" t="inlineStr">
        <is>
          <t>Infrastructure</t>
        </is>
      </c>
      <c r="D32" s="268" t="inlineStr">
        <is>
          <t>Server mounting,Storage configuration, OS, Antivirus, Network Readiness in Datacentre.</t>
        </is>
      </c>
      <c r="E32" s="269" t="inlineStr">
        <is>
          <t>C</t>
        </is>
      </c>
      <c r="F32" s="269" t="inlineStr">
        <is>
          <t>C</t>
        </is>
      </c>
      <c r="G32" s="269" t="inlineStr">
        <is>
          <t>R</t>
        </is>
      </c>
      <c r="H32" s="270" t="n"/>
    </row>
    <row r="33" customFormat="1" s="1">
      <c r="A33" s="267" t="n">
        <v>31</v>
      </c>
      <c r="B33" s="268" t="inlineStr">
        <is>
          <t>Commissioning</t>
        </is>
      </c>
      <c r="C33" s="268" t="inlineStr">
        <is>
          <t>Infrastructure</t>
        </is>
      </c>
      <c r="D33" s="268" t="inlineStr">
        <is>
          <t>Backup Software if any</t>
        </is>
      </c>
      <c r="E33" s="269" t="inlineStr">
        <is>
          <t>C</t>
        </is>
      </c>
      <c r="F33" s="269" t="inlineStr">
        <is>
          <t>C</t>
        </is>
      </c>
      <c r="G33" s="269" t="inlineStr">
        <is>
          <t>R</t>
        </is>
      </c>
      <c r="H33" s="270" t="n"/>
    </row>
    <row r="34" customFormat="1" s="1">
      <c r="A34" s="267" t="n">
        <v>32</v>
      </c>
      <c r="B34" s="268" t="inlineStr">
        <is>
          <t>Commissioning</t>
        </is>
      </c>
      <c r="C34" s="268" t="inlineStr">
        <is>
          <t>Documentation</t>
        </is>
      </c>
      <c r="D34" s="268" t="inlineStr">
        <is>
          <t xml:space="preserve">SOP and user manual </t>
        </is>
      </c>
      <c r="E34" s="269" t="inlineStr">
        <is>
          <t>R</t>
        </is>
      </c>
      <c r="F34" s="269" t="inlineStr">
        <is>
          <t>C</t>
        </is>
      </c>
      <c r="G34" s="269" t="inlineStr">
        <is>
          <t>I</t>
        </is>
      </c>
      <c r="H34" s="270" t="n"/>
    </row>
    <row r="35" customFormat="1" s="1">
      <c r="A35" s="267" t="n">
        <v>33</v>
      </c>
      <c r="B35" s="268" t="inlineStr">
        <is>
          <t>Commissioning</t>
        </is>
      </c>
      <c r="C35" s="268" t="inlineStr">
        <is>
          <t>Infrastructure</t>
        </is>
      </c>
      <c r="D35" s="268" t="inlineStr">
        <is>
          <t>Infrastructure, Database, Backup monitoring tools installation.</t>
        </is>
      </c>
      <c r="E35" s="269" t="inlineStr">
        <is>
          <t>I</t>
        </is>
      </c>
      <c r="F35" s="269" t="inlineStr">
        <is>
          <t>C</t>
        </is>
      </c>
      <c r="G35" s="269" t="inlineStr">
        <is>
          <t>R</t>
        </is>
      </c>
      <c r="H35" s="270" t="n"/>
    </row>
    <row r="36" ht="22.8" customFormat="1" customHeight="1" s="1">
      <c r="A36" s="267" t="n">
        <v>34</v>
      </c>
      <c r="B36" s="268" t="inlineStr">
        <is>
          <t>HyperCare</t>
        </is>
      </c>
      <c r="C36" s="268" t="inlineStr">
        <is>
          <t>Infrastructure</t>
        </is>
      </c>
      <c r="D36" s="268" t="inlineStr">
        <is>
          <t>VM/Server Monitoring - Manually monitor the availability and performance of the Virtual Machines using OEM provided management tools at periodic intervals.</t>
        </is>
      </c>
      <c r="E36" s="269" t="inlineStr">
        <is>
          <t>I</t>
        </is>
      </c>
      <c r="F36" s="269" t="inlineStr">
        <is>
          <t>C</t>
        </is>
      </c>
      <c r="G36" s="269" t="inlineStr">
        <is>
          <t>R</t>
        </is>
      </c>
      <c r="H36" s="270" t="n"/>
    </row>
    <row r="37" ht="22.8" customFormat="1" customHeight="1" s="1">
      <c r="A37" s="267" t="n">
        <v>35</v>
      </c>
      <c r="B37" s="268" t="inlineStr">
        <is>
          <t>HyperCare</t>
        </is>
      </c>
      <c r="C37" s="268" t="inlineStr">
        <is>
          <t>Application</t>
        </is>
      </c>
      <c r="D37" s="268" t="inlineStr">
        <is>
          <t>DB Monitoring - Manually monitor the availability of the databases using OEM provided management tools at periodic intervals</t>
        </is>
      </c>
      <c r="E37" s="269" t="inlineStr">
        <is>
          <t>R</t>
        </is>
      </c>
      <c r="F37" s="269" t="inlineStr">
        <is>
          <t>A</t>
        </is>
      </c>
      <c r="G37" s="269" t="inlineStr">
        <is>
          <t>I</t>
        </is>
      </c>
      <c r="H37" s="270" t="n"/>
    </row>
    <row r="38" customFormat="1" s="1">
      <c r="A38" s="267" t="n">
        <v>36</v>
      </c>
      <c r="B38" s="268" t="inlineStr">
        <is>
          <t>HyperCare</t>
        </is>
      </c>
      <c r="C38" s="268" t="inlineStr">
        <is>
          <t>Infrastructure</t>
        </is>
      </c>
      <c r="D38" s="268" t="inlineStr">
        <is>
          <t>Backup Monitoring - Monitor the failed backup jobs Backup software console at periodic intervals</t>
        </is>
      </c>
      <c r="E38" s="269" t="inlineStr">
        <is>
          <t>I</t>
        </is>
      </c>
      <c r="F38" s="269" t="inlineStr">
        <is>
          <t>C</t>
        </is>
      </c>
      <c r="G38" s="269" t="inlineStr">
        <is>
          <t>R</t>
        </is>
      </c>
      <c r="H38" s="270" t="n"/>
    </row>
    <row r="39" customFormat="1" s="1">
      <c r="A39" s="267" t="n">
        <v>37</v>
      </c>
      <c r="B39" s="268" t="inlineStr">
        <is>
          <t>HyperCare</t>
        </is>
      </c>
      <c r="C39" s="268" t="inlineStr">
        <is>
          <t>Application</t>
        </is>
      </c>
      <c r="D39" s="268" t="inlineStr">
        <is>
          <t>Application Monitoring : Monitor the availability of applications</t>
        </is>
      </c>
      <c r="E39" s="269" t="inlineStr">
        <is>
          <t>R</t>
        </is>
      </c>
      <c r="F39" s="269" t="inlineStr">
        <is>
          <t>A</t>
        </is>
      </c>
      <c r="G39" s="269" t="inlineStr">
        <is>
          <t>I</t>
        </is>
      </c>
      <c r="H39" s="270" t="n"/>
    </row>
    <row r="40" ht="22.8" customFormat="1" customHeight="1" s="1">
      <c r="A40" s="267" t="n">
        <v>38</v>
      </c>
      <c r="B40" s="268" t="inlineStr">
        <is>
          <t>HyperCare</t>
        </is>
      </c>
      <c r="C40" s="268" t="inlineStr">
        <is>
          <t>Application</t>
        </is>
      </c>
      <c r="D40" s="268" t="inlineStr">
        <is>
          <t>Performance Maintenance - configuration changes, clean-up environment, identify inefficient SQL queries, Perform scheduled database start-up/shutdown, Database recovery</t>
        </is>
      </c>
      <c r="E40" s="269" t="inlineStr">
        <is>
          <t>R</t>
        </is>
      </c>
      <c r="F40" s="269" t="inlineStr">
        <is>
          <t>A</t>
        </is>
      </c>
      <c r="G40" s="269" t="inlineStr">
        <is>
          <t>I</t>
        </is>
      </c>
      <c r="H40" s="270" t="n"/>
    </row>
    <row r="41" ht="22.8" customFormat="1" customHeight="1" s="1">
      <c r="A41" s="267" t="n">
        <v>39</v>
      </c>
      <c r="B41" s="268" t="inlineStr">
        <is>
          <t>HyperCare</t>
        </is>
      </c>
      <c r="C41" s="268" t="inlineStr">
        <is>
          <t>Application</t>
        </is>
      </c>
      <c r="D41" s="268" t="inlineStr">
        <is>
          <t>DB Structural Maintenance - Table space, disk space, and temporary space management, Database object structural management, Maintain physical database layout</t>
        </is>
      </c>
      <c r="E41" s="269" t="inlineStr">
        <is>
          <t>R</t>
        </is>
      </c>
      <c r="F41" s="269" t="inlineStr">
        <is>
          <t>A</t>
        </is>
      </c>
      <c r="G41" s="269" t="inlineStr">
        <is>
          <t>I</t>
        </is>
      </c>
      <c r="H41" s="270" t="n"/>
    </row>
    <row r="42" customFormat="1" s="1">
      <c r="A42" s="267" t="n">
        <v>40</v>
      </c>
      <c r="B42" s="268" t="inlineStr">
        <is>
          <t>HyperCare</t>
        </is>
      </c>
      <c r="C42" s="268" t="inlineStr">
        <is>
          <t>Infrastructure</t>
        </is>
      </c>
      <c r="D42" s="268" t="inlineStr">
        <is>
          <t>Network Monitoring System installation</t>
        </is>
      </c>
      <c r="E42" s="269" t="inlineStr">
        <is>
          <t>I</t>
        </is>
      </c>
      <c r="F42" s="269" t="inlineStr">
        <is>
          <t>C</t>
        </is>
      </c>
      <c r="G42" s="269" t="inlineStr">
        <is>
          <t>R</t>
        </is>
      </c>
      <c r="H42" s="270" t="n"/>
    </row>
    <row r="43" customFormat="1" s="1">
      <c r="A43" s="267" t="n">
        <v>41</v>
      </c>
      <c r="B43" s="268" t="inlineStr">
        <is>
          <t>HyperCare</t>
        </is>
      </c>
      <c r="C43" s="268" t="inlineStr">
        <is>
          <t>Infrastructure</t>
        </is>
      </c>
      <c r="D43" s="268" t="inlineStr">
        <is>
          <t>VM, Server, OS, Antivirus, other software maintenance</t>
        </is>
      </c>
      <c r="E43" s="269" t="inlineStr">
        <is>
          <t>I</t>
        </is>
      </c>
      <c r="F43" s="269" t="inlineStr">
        <is>
          <t>C</t>
        </is>
      </c>
      <c r="G43" s="269" t="inlineStr">
        <is>
          <t>R</t>
        </is>
      </c>
      <c r="H43" s="270" t="n"/>
    </row>
    <row r="44" customFormat="1" s="1"/>
    <row r="45" customFormat="1" s="1"/>
    <row r="46" customFormat="1" s="1"/>
    <row r="47" customFormat="1" s="1"/>
    <row r="48" customFormat="1" s="1"/>
    <row r="49" customFormat="1" s="1"/>
    <row r="50" customFormat="1" s="1"/>
    <row r="51" customFormat="1" s="1"/>
    <row r="52" customFormat="1" s="1"/>
    <row r="53" customFormat="1" s="1"/>
    <row r="54" customFormat="1" s="1"/>
    <row r="55" customFormat="1" s="1"/>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sheetData>
  <mergeCells count="1">
    <mergeCell ref="A1:K1"/>
  </mergeCells>
  <conditionalFormatting sqref="E3:G43">
    <cfRule type="cellIs" priority="1" operator="equal" dxfId="0">
      <formula>"r"</formula>
    </cfRule>
  </conditionalFormatting>
  <pageMargins left="0.7" right="0.7" top="0.75" bottom="0.75" header="0.3" footer="0.3"/>
  <headerFooter>
    <oddHeader>&amp;C&amp;"Aptos"&amp;1 &amp;K008000 Confidential GREEN#_x000d_</oddHeader>
    <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C1:E10"/>
  <sheetViews>
    <sheetView workbookViewId="0">
      <selection activeCell="G21" sqref="G21"/>
    </sheetView>
  </sheetViews>
  <sheetFormatPr baseColWidth="8" defaultRowHeight="14.4"/>
  <cols>
    <col width="20.5546875" customWidth="1" min="3" max="3"/>
    <col width="18.33203125" bestFit="1" customWidth="1" min="4" max="4"/>
    <col width="16.109375" bestFit="1" customWidth="1" min="5" max="5"/>
  </cols>
  <sheetData>
    <row r="1">
      <c r="C1" s="460" t="inlineStr">
        <is>
          <t>Dispatch Details</t>
        </is>
      </c>
      <c r="D1" s="485" t="n"/>
      <c r="E1" s="484" t="n"/>
    </row>
    <row r="2">
      <c r="C2" t="inlineStr">
        <is>
          <t>Packing Type</t>
        </is>
      </c>
      <c r="D2" t="inlineStr">
        <is>
          <t>Mode Of Transport</t>
        </is>
      </c>
      <c r="E2" t="inlineStr">
        <is>
          <t>Transit Insurance</t>
        </is>
      </c>
    </row>
    <row r="3">
      <c r="C3" t="inlineStr">
        <is>
          <t>Sea Worthy</t>
        </is>
      </c>
      <c r="D3" t="inlineStr">
        <is>
          <t>Road</t>
        </is>
      </c>
      <c r="E3" t="inlineStr">
        <is>
          <t>Yes</t>
        </is>
      </c>
    </row>
    <row r="4">
      <c r="C4" t="inlineStr">
        <is>
          <t>Air Worthy</t>
        </is>
      </c>
      <c r="D4" t="inlineStr">
        <is>
          <t>Water</t>
        </is>
      </c>
      <c r="E4" t="inlineStr">
        <is>
          <t>No</t>
        </is>
      </c>
    </row>
    <row r="5">
      <c r="C5" t="inlineStr">
        <is>
          <t>Sea and Air Worthy</t>
        </is>
      </c>
      <c r="D5" t="inlineStr">
        <is>
          <t>Air</t>
        </is>
      </c>
      <c r="E5" t="inlineStr">
        <is>
          <t>NA</t>
        </is>
      </c>
    </row>
    <row r="6">
      <c r="C6" t="inlineStr">
        <is>
          <t>Corrugated</t>
        </is>
      </c>
      <c r="D6" t="inlineStr">
        <is>
          <t>Water &amp; Road</t>
        </is>
      </c>
    </row>
    <row r="7">
      <c r="C7" t="inlineStr">
        <is>
          <t>Others</t>
        </is>
      </c>
      <c r="D7" t="inlineStr">
        <is>
          <t>Air &amp; Road</t>
        </is>
      </c>
    </row>
    <row r="8">
      <c r="C8" t="inlineStr">
        <is>
          <t>NA</t>
        </is>
      </c>
      <c r="D8" t="inlineStr">
        <is>
          <t>Water &amp; Air &amp; Road</t>
        </is>
      </c>
    </row>
    <row r="9">
      <c r="D9" t="inlineStr">
        <is>
          <t>Others</t>
        </is>
      </c>
    </row>
    <row r="10">
      <c r="D10" t="inlineStr">
        <is>
          <t>NA</t>
        </is>
      </c>
    </row>
  </sheetData>
  <mergeCells count="1">
    <mergeCell ref="C1:E1"/>
  </mergeCells>
  <pageMargins left="0.7" right="0.7" top="0.75" bottom="0.75" header="0.3" footer="0.3"/>
  <headerFooter>
    <oddHeader>&amp;C&amp;"Aptos"&amp;1 &amp;K008000 Confidential GREEN#_x000d_</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Tarique</dc:creator>
  <dcterms:created xmlns:dcterms="http://purl.org/dc/terms/" xmlns:xsi="http://www.w3.org/2001/XMLSchema-instance" xsi:type="dcterms:W3CDTF">2021-03-04T08:30:01Z</dcterms:created>
  <dcterms:modified xmlns:dcterms="http://purl.org/dc/terms/" xmlns:xsi="http://www.w3.org/2001/XMLSchema-instance" xsi:type="dcterms:W3CDTF">2026-06-10T07:16:21Z</dcterms:modified>
  <cp:lastModifiedBy>Goyal Sanjay (Smart Controls)</cp:lastModifiedBy>
  <cp:lastPrinted>2021-10-07T18:28:22Z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0x0101006AC8EF2833568A49A8CED28B5413582C</vt:lpwstr>
  </property>
  <property name="MediaServiceImageTags" fmtid="{D5CDD505-2E9C-101B-9397-08002B2CF9AE}" pid="3">
    <vt:lpwstr xmlns:vt="http://schemas.openxmlformats.org/officeDocument/2006/docPropsVTypes"/>
  </property>
  <property name="MSIP_Label_ba9a201e-2387-47a9-b4a3-a6bdc4a09bb6_Enabled" fmtid="{D5CDD505-2E9C-101B-9397-08002B2CF9AE}" pid="4">
    <vt:lpwstr xmlns:vt="http://schemas.openxmlformats.org/officeDocument/2006/docPropsVTypes">true</vt:lpwstr>
  </property>
  <property name="MSIP_Label_ba9a201e-2387-47a9-b4a3-a6bdc4a09bb6_SetDate" fmtid="{D5CDD505-2E9C-101B-9397-08002B2CF9AE}" pid="5">
    <vt:lpwstr xmlns:vt="http://schemas.openxmlformats.org/officeDocument/2006/docPropsVTypes">2026-05-05T12:55:46Z</vt:lpwstr>
  </property>
  <property name="MSIP_Label_ba9a201e-2387-47a9-b4a3-a6bdc4a09bb6_Method" fmtid="{D5CDD505-2E9C-101B-9397-08002B2CF9AE}" pid="6">
    <vt:lpwstr xmlns:vt="http://schemas.openxmlformats.org/officeDocument/2006/docPropsVTypes">Standard</vt:lpwstr>
  </property>
  <property name="MSIP_Label_ba9a201e-2387-47a9-b4a3-a6bdc4a09bb6_Name" fmtid="{D5CDD505-2E9C-101B-9397-08002B2CF9AE}" pid="7">
    <vt:lpwstr xmlns:vt="http://schemas.openxmlformats.org/officeDocument/2006/docPropsVTypes">GREEN Universal</vt:lpwstr>
  </property>
  <property name="MSIP_Label_ba9a201e-2387-47a9-b4a3-a6bdc4a09bb6_SiteId" fmtid="{D5CDD505-2E9C-101B-9397-08002B2CF9AE}" pid="8">
    <vt:lpwstr xmlns:vt="http://schemas.openxmlformats.org/officeDocument/2006/docPropsVTypes">0250981a-1133-49e1-ba8e-3b02b77bfa04</vt:lpwstr>
  </property>
  <property name="MSIP_Label_ba9a201e-2387-47a9-b4a3-a6bdc4a09bb6_ActionId" fmtid="{D5CDD505-2E9C-101B-9397-08002B2CF9AE}" pid="9">
    <vt:lpwstr xmlns:vt="http://schemas.openxmlformats.org/officeDocument/2006/docPropsVTypes">f0801b97-abaf-4326-9d1e-76cc5ca2a793</vt:lpwstr>
  </property>
  <property name="MSIP_Label_ba9a201e-2387-47a9-b4a3-a6bdc4a09bb6_ContentBits" fmtid="{D5CDD505-2E9C-101B-9397-08002B2CF9AE}" pid="10">
    <vt:lpwstr xmlns:vt="http://schemas.openxmlformats.org/officeDocument/2006/docPropsVTypes">1</vt:lpwstr>
  </property>
  <property name="MSIP_Label_ba9a201e-2387-47a9-b4a3-a6bdc4a09bb6_Tag" fmtid="{D5CDD505-2E9C-101B-9397-08002B2CF9AE}" pid="11">
    <vt:lpwstr xmlns:vt="http://schemas.openxmlformats.org/officeDocument/2006/docPropsVTypes">10, 3, 0, 1</vt:lpwstr>
  </property>
</Properties>
</file>