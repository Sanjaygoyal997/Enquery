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zeppelinholding-my.sharepoint.com/personal/sanjay_goyal_zeppelin_com/Documents/SCI-OneDrive/Enqueries/SG+/"/>
    </mc:Choice>
  </mc:AlternateContent>
  <xr:revisionPtr revIDLastSave="0" documentId="8_{4DA15FB1-272C-474F-9242-4DDAAE71231C}" xr6:coauthVersionLast="47" xr6:coauthVersionMax="47" xr10:uidLastSave="{00000000-0000-0000-0000-000000000000}"/>
  <bookViews>
    <workbookView xWindow="-108" yWindow="-108" windowWidth="23256" windowHeight="12456" tabRatio="983" activeTab="2" xr2:uid="{81F60569-E973-4FF3-A74C-46A3C0CBAEE7}"/>
  </bookViews>
  <sheets>
    <sheet name="Summary" sheetId="41" r:id="rId1"/>
    <sheet name="1. Requirements" sheetId="64" r:id="rId2"/>
    <sheet name="2.Effort Estimation" sheetId="50" r:id="rId3"/>
    <sheet name="3.Planned Schedule" sheetId="48" r:id="rId4"/>
    <sheet name="4.Planned Expenses" sheetId="49" r:id="rId5"/>
    <sheet name="5. Success Factors" sheetId="60" r:id="rId6"/>
    <sheet name="6. Overall- RACI" sheetId="63" r:id="rId7"/>
    <sheet name="7. Project RACI" sheetId="61" r:id="rId8"/>
    <sheet name="Data" sheetId="52" state="hidden" r:id="rId9"/>
  </sheets>
  <externalReferences>
    <externalReference r:id="rId10"/>
  </externalReferences>
  <definedNames>
    <definedName name="_xlnm._FilterDatabase" localSheetId="2" hidden="1">'2.Effort Estimation'!$A$16:$K$350</definedName>
    <definedName name="_xlnm._FilterDatabase" localSheetId="4" hidden="1">'4.Planned Expenses'!#REF!</definedName>
    <definedName name="_xlnm._FilterDatabase" localSheetId="7" hidden="1">'7. Project RACI'!#REF!</definedName>
    <definedName name="Actual" localSheetId="3">(#REF!*(#REF!&gt;0))*#REF!</definedName>
    <definedName name="ActualBeyond" localSheetId="3">#REF!*(#REF!&gt;0)</definedName>
    <definedName name="Last_Row" localSheetId="1">IF('1. Requirements'!Values_Entered,Header_Row+'1. Requirements'!Number_of_Payments,Header_Row)</definedName>
    <definedName name="Last_Row" localSheetId="6">IF('6. Overall- RACI'!Values_Entered,Header_Row+'6. Overall- RACI'!Number_of_Payments,Header_Row)</definedName>
    <definedName name="Last_Row">IF(Values_Entered,Header_Row+Number_of_Payments,Header_Row)</definedName>
    <definedName name="Number_of_Payments" localSheetId="1">MATCH(0.01,End_Bal,-1)+1</definedName>
    <definedName name="Number_of_Payments" localSheetId="6">MATCH(0.01,End_Bal,-1)+1</definedName>
    <definedName name="Number_of_Payments">MATCH(0.01,End_Bal,-1)+1</definedName>
    <definedName name="PercentComplete" localSheetId="3">#REF!*#REF!</definedName>
    <definedName name="PercentCompleteBeyond" localSheetId="3">(#REF!=MEDIAN(#REF!,#REF!,#REF!+#REF!)*(#REF!&gt;0))*((#REF!&lt;(INT(#REF!+#REF!*#REF!)))+(#REF!=#REF!))*(#REF!&gt;0)</definedName>
    <definedName name="period_selected" localSheetId="3">#REF!</definedName>
    <definedName name="PeriodInPlan" localSheetId="1">#N/A</definedName>
    <definedName name="PeriodInPlan" localSheetId="6">[1]!F(6+#REF!):[1]!F(6+#REF!+#REF!)</definedName>
    <definedName name="PeriodInPlan">#N/A</definedName>
    <definedName name="Plan" localSheetId="3">#REF!*(#REF!&gt;0)</definedName>
    <definedName name="TitleRegion..BO60" localSheetId="6">#REF!</definedName>
    <definedName name="Values_Entered" localSheetId="1">IF(Loan_Amount*Interest_Rate*Loan_Years*Loan_Start&gt;0,1,0)</definedName>
    <definedName name="Values_Entered" localSheetId="6">IF(Loan_Amount*Interest_Rate*Loan_Years*Loan_Start&gt;0,1,0)</definedName>
    <definedName name="Values_Entered">IF(Loan_Amount*Interest_Rate*Loan_Years*Loan_Start&gt;0,1,0)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9" i="48" l="1"/>
  <c r="G11" i="48"/>
  <c r="H11" i="48" s="1"/>
  <c r="I11" i="48" s="1"/>
  <c r="G12" i="48"/>
  <c r="H12" i="48" s="1"/>
  <c r="I12" i="48" s="1"/>
  <c r="G13" i="48"/>
  <c r="H13" i="48" s="1"/>
  <c r="I13" i="48" s="1"/>
  <c r="G14" i="48"/>
  <c r="H14" i="48" s="1"/>
  <c r="I14" i="48" s="1"/>
  <c r="G15" i="48"/>
  <c r="H15" i="48" s="1"/>
  <c r="I15" i="48" s="1"/>
  <c r="G16" i="48"/>
  <c r="H16" i="48" s="1"/>
  <c r="I16" i="48" s="1"/>
  <c r="G17" i="48"/>
  <c r="H17" i="48" s="1"/>
  <c r="I17" i="48" s="1"/>
  <c r="G18" i="48"/>
  <c r="H18" i="48" s="1"/>
  <c r="I18" i="48" s="1"/>
  <c r="G19" i="48"/>
  <c r="H19" i="48" s="1"/>
  <c r="I19" i="48" s="1"/>
  <c r="G20" i="48"/>
  <c r="H20" i="48" s="1"/>
  <c r="I20" i="48" s="1"/>
  <c r="G21" i="48"/>
  <c r="H21" i="48" s="1"/>
  <c r="I21" i="48" s="1"/>
  <c r="G22" i="48"/>
  <c r="H22" i="48" s="1"/>
  <c r="I22" i="48" s="1"/>
  <c r="G23" i="48"/>
  <c r="H23" i="48" s="1"/>
  <c r="I23" i="48" s="1"/>
  <c r="G24" i="48"/>
  <c r="H24" i="48" s="1"/>
  <c r="I24" i="48" s="1"/>
  <c r="G25" i="48"/>
  <c r="H25" i="48" s="1"/>
  <c r="I25" i="48" s="1"/>
  <c r="G26" i="48"/>
  <c r="H26" i="48" s="1"/>
  <c r="I26" i="48" s="1"/>
  <c r="G27" i="48"/>
  <c r="H27" i="48" s="1"/>
  <c r="I27" i="48" s="1"/>
  <c r="G28" i="48"/>
  <c r="H28" i="48" s="1"/>
  <c r="I28" i="48" s="1"/>
  <c r="G10" i="48"/>
  <c r="H10" i="48" l="1"/>
  <c r="I10" i="48" s="1"/>
  <c r="G29" i="49" l="1"/>
  <c r="J34" i="48"/>
  <c r="K34" i="48"/>
  <c r="L34" i="48"/>
  <c r="M34" i="48"/>
  <c r="N34" i="48"/>
  <c r="O34" i="48"/>
  <c r="P34" i="48"/>
  <c r="Q34" i="48"/>
  <c r="R34" i="48"/>
  <c r="S34" i="48"/>
  <c r="T34" i="48"/>
  <c r="U34" i="48"/>
  <c r="V34" i="48"/>
  <c r="W34" i="48"/>
  <c r="X34" i="48"/>
  <c r="Y34" i="48"/>
  <c r="Z34" i="48"/>
  <c r="AA34" i="48"/>
  <c r="AB34" i="48"/>
  <c r="AC34" i="48"/>
  <c r="AD34" i="48"/>
  <c r="AE34" i="48"/>
  <c r="AF34" i="48"/>
  <c r="AG34" i="48"/>
  <c r="AH34" i="48"/>
  <c r="AI34" i="48"/>
  <c r="AJ34" i="48"/>
  <c r="AK34" i="48"/>
  <c r="AL34" i="48"/>
  <c r="AM34" i="48"/>
  <c r="AN34" i="48"/>
  <c r="AO34" i="48"/>
  <c r="AP34" i="48"/>
  <c r="AQ34" i="48"/>
  <c r="AR34" i="48"/>
  <c r="AS34" i="48"/>
  <c r="AT34" i="48"/>
  <c r="AU34" i="48"/>
  <c r="AV34" i="48"/>
  <c r="AW34" i="48"/>
  <c r="AX34" i="48"/>
  <c r="AY34" i="48"/>
  <c r="AZ34" i="48"/>
  <c r="BA34" i="48"/>
  <c r="BB34" i="48"/>
  <c r="BC34" i="48"/>
  <c r="BD34" i="48"/>
  <c r="BE34" i="48"/>
  <c r="BF34" i="48"/>
  <c r="BG34" i="48"/>
  <c r="BH34" i="48"/>
  <c r="BI34" i="48"/>
  <c r="BJ34" i="48"/>
  <c r="K26" i="50"/>
  <c r="K27" i="50"/>
  <c r="K28" i="50"/>
  <c r="K29" i="50"/>
  <c r="K30" i="50"/>
  <c r="K31" i="50"/>
  <c r="K32" i="50"/>
  <c r="K33" i="50"/>
  <c r="K34" i="50"/>
  <c r="K35" i="50"/>
  <c r="K36" i="50"/>
  <c r="K37" i="50"/>
  <c r="K38" i="50"/>
  <c r="K39" i="50"/>
  <c r="K40" i="50"/>
  <c r="K41" i="50"/>
  <c r="K42" i="50"/>
  <c r="K43" i="50"/>
  <c r="K44" i="50"/>
  <c r="K45" i="50"/>
  <c r="K46" i="50"/>
  <c r="K47" i="50"/>
  <c r="K48" i="50"/>
  <c r="K49" i="50"/>
  <c r="K50" i="50"/>
  <c r="K51" i="50"/>
  <c r="K52" i="50"/>
  <c r="K53" i="50"/>
  <c r="K54" i="50"/>
  <c r="K55" i="50"/>
  <c r="K56" i="50"/>
  <c r="K57" i="50"/>
  <c r="K58" i="50"/>
  <c r="K59" i="50"/>
  <c r="K60" i="50"/>
  <c r="K61" i="50"/>
  <c r="K62" i="50"/>
  <c r="K63" i="50"/>
  <c r="K64" i="50"/>
  <c r="K65" i="50"/>
  <c r="K66" i="50"/>
  <c r="K67" i="50"/>
  <c r="K68" i="50"/>
  <c r="K69" i="50"/>
  <c r="K70" i="50"/>
  <c r="K71" i="50"/>
  <c r="K72" i="50"/>
  <c r="K73" i="50"/>
  <c r="K74" i="50"/>
  <c r="K75" i="50"/>
  <c r="K76" i="50"/>
  <c r="K77" i="50"/>
  <c r="K78" i="50"/>
  <c r="K79" i="50"/>
  <c r="K80" i="50"/>
  <c r="K81" i="50"/>
  <c r="K82" i="50"/>
  <c r="K83" i="50"/>
  <c r="K84" i="50"/>
  <c r="K85" i="50"/>
  <c r="K86" i="50"/>
  <c r="K87" i="50"/>
  <c r="K88" i="50"/>
  <c r="K89" i="50"/>
  <c r="K90" i="50"/>
  <c r="K91" i="50"/>
  <c r="K92" i="50"/>
  <c r="K93" i="50"/>
  <c r="K94" i="50"/>
  <c r="K95" i="50"/>
  <c r="K96" i="50"/>
  <c r="K97" i="50"/>
  <c r="K98" i="50"/>
  <c r="K99" i="50"/>
  <c r="K100" i="50"/>
  <c r="K101" i="50"/>
  <c r="K102" i="50"/>
  <c r="K103" i="50"/>
  <c r="K104" i="50"/>
  <c r="K105" i="50"/>
  <c r="K106" i="50"/>
  <c r="K107" i="50"/>
  <c r="K108" i="50"/>
  <c r="K109" i="50"/>
  <c r="K110" i="50"/>
  <c r="K111" i="50"/>
  <c r="K112" i="50"/>
  <c r="K113" i="50"/>
  <c r="K114" i="50"/>
  <c r="K115" i="50"/>
  <c r="K116" i="50"/>
  <c r="K117" i="50"/>
  <c r="K118" i="50"/>
  <c r="K119" i="50"/>
  <c r="K120" i="50"/>
  <c r="K121" i="50"/>
  <c r="K122" i="50"/>
  <c r="K123" i="50"/>
  <c r="K124" i="50"/>
  <c r="K125" i="50"/>
  <c r="K126" i="50"/>
  <c r="K127" i="50"/>
  <c r="K128" i="50"/>
  <c r="K129" i="50"/>
  <c r="K130" i="50"/>
  <c r="K131" i="50"/>
  <c r="K132" i="50"/>
  <c r="K133" i="50"/>
  <c r="K134" i="50"/>
  <c r="K135" i="50"/>
  <c r="K136" i="50"/>
  <c r="K137" i="50"/>
  <c r="K138" i="50"/>
  <c r="K139" i="50"/>
  <c r="K140" i="50"/>
  <c r="K141" i="50"/>
  <c r="K142" i="50"/>
  <c r="K143" i="50"/>
  <c r="K144" i="50"/>
  <c r="K145" i="50"/>
  <c r="K146" i="50"/>
  <c r="K147" i="50"/>
  <c r="K148" i="50"/>
  <c r="K149" i="50"/>
  <c r="K150" i="50"/>
  <c r="K151" i="50"/>
  <c r="K152" i="50"/>
  <c r="K153" i="50"/>
  <c r="K154" i="50"/>
  <c r="K155" i="50"/>
  <c r="K156" i="50"/>
  <c r="K157" i="50"/>
  <c r="K158" i="50"/>
  <c r="K159" i="50"/>
  <c r="K160" i="50"/>
  <c r="K161" i="50"/>
  <c r="K162" i="50"/>
  <c r="K163" i="50"/>
  <c r="K164" i="50"/>
  <c r="K165" i="50"/>
  <c r="K166" i="50"/>
  <c r="K167" i="50"/>
  <c r="K168" i="50"/>
  <c r="K169" i="50"/>
  <c r="K170" i="50"/>
  <c r="K171" i="50"/>
  <c r="K172" i="50"/>
  <c r="K173" i="50"/>
  <c r="K174" i="50"/>
  <c r="K175" i="50"/>
  <c r="K176" i="50"/>
  <c r="K177" i="50"/>
  <c r="K178" i="50"/>
  <c r="K179" i="50"/>
  <c r="K180" i="50"/>
  <c r="K181" i="50"/>
  <c r="K182" i="50"/>
  <c r="K183" i="50"/>
  <c r="K184" i="50"/>
  <c r="K185" i="50"/>
  <c r="K186" i="50"/>
  <c r="K187" i="50"/>
  <c r="K188" i="50"/>
  <c r="K189" i="50"/>
  <c r="K190" i="50"/>
  <c r="K191" i="50"/>
  <c r="K192" i="50"/>
  <c r="K193" i="50"/>
  <c r="K194" i="50"/>
  <c r="K195" i="50"/>
  <c r="K196" i="50"/>
  <c r="K197" i="50"/>
  <c r="K198" i="50"/>
  <c r="K199" i="50"/>
  <c r="K200" i="50"/>
  <c r="K201" i="50"/>
  <c r="K202" i="50"/>
  <c r="K203" i="50"/>
  <c r="K204" i="50"/>
  <c r="K205" i="50"/>
  <c r="K206" i="50"/>
  <c r="K207" i="50"/>
  <c r="K208" i="50"/>
  <c r="K209" i="50"/>
  <c r="K210" i="50"/>
  <c r="K211" i="50"/>
  <c r="K212" i="50"/>
  <c r="K213" i="50"/>
  <c r="K214" i="50"/>
  <c r="K215" i="50"/>
  <c r="K216" i="50"/>
  <c r="K217" i="50"/>
  <c r="K218" i="50"/>
  <c r="K219" i="50"/>
  <c r="K220" i="50"/>
  <c r="K221" i="50"/>
  <c r="K222" i="50"/>
  <c r="K223" i="50"/>
  <c r="K224" i="50"/>
  <c r="K225" i="50"/>
  <c r="K226" i="50"/>
  <c r="K227" i="50"/>
  <c r="K228" i="50"/>
  <c r="K229" i="50"/>
  <c r="K230" i="50"/>
  <c r="K231" i="50"/>
  <c r="K232" i="50"/>
  <c r="K233" i="50"/>
  <c r="K234" i="50"/>
  <c r="K235" i="50"/>
  <c r="K236" i="50"/>
  <c r="K237" i="50"/>
  <c r="K238" i="50"/>
  <c r="K239" i="50"/>
  <c r="K240" i="50"/>
  <c r="K241" i="50"/>
  <c r="K242" i="50"/>
  <c r="K243" i="50"/>
  <c r="K244" i="50"/>
  <c r="K245" i="50"/>
  <c r="K246" i="50"/>
  <c r="K247" i="50"/>
  <c r="K248" i="50"/>
  <c r="K249" i="50"/>
  <c r="K250" i="50"/>
  <c r="K251" i="50"/>
  <c r="K252" i="50"/>
  <c r="K253" i="50"/>
  <c r="K254" i="50"/>
  <c r="K255" i="50"/>
  <c r="K256" i="50"/>
  <c r="K257" i="50"/>
  <c r="K258" i="50"/>
  <c r="K259" i="50"/>
  <c r="K260" i="50"/>
  <c r="K261" i="50"/>
  <c r="K262" i="50"/>
  <c r="K263" i="50"/>
  <c r="K264" i="50"/>
  <c r="K265" i="50"/>
  <c r="K266" i="50"/>
  <c r="K267" i="50"/>
  <c r="K268" i="50"/>
  <c r="K269" i="50"/>
  <c r="K270" i="50"/>
  <c r="K271" i="50"/>
  <c r="K272" i="50"/>
  <c r="K273" i="50"/>
  <c r="K274" i="50"/>
  <c r="K275" i="50"/>
  <c r="K276" i="50"/>
  <c r="K277" i="50"/>
  <c r="K278" i="50"/>
  <c r="K279" i="50"/>
  <c r="K280" i="50"/>
  <c r="K281" i="50"/>
  <c r="K282" i="50"/>
  <c r="K283" i="50"/>
  <c r="K284" i="50"/>
  <c r="K285" i="50"/>
  <c r="K286" i="50"/>
  <c r="K287" i="50"/>
  <c r="K288" i="50"/>
  <c r="K289" i="50"/>
  <c r="K290" i="50"/>
  <c r="K291" i="50"/>
  <c r="K292" i="50"/>
  <c r="K293" i="50"/>
  <c r="K294" i="50"/>
  <c r="K295" i="50"/>
  <c r="K296" i="50"/>
  <c r="K297" i="50"/>
  <c r="K298" i="50"/>
  <c r="K299" i="50"/>
  <c r="K300" i="50"/>
  <c r="K301" i="50"/>
  <c r="K302" i="50"/>
  <c r="K303" i="50"/>
  <c r="K304" i="50"/>
  <c r="K305" i="50"/>
  <c r="K306" i="50"/>
  <c r="K307" i="50"/>
  <c r="K308" i="50"/>
  <c r="K309" i="50"/>
  <c r="K310" i="50"/>
  <c r="K311" i="50"/>
  <c r="K312" i="50"/>
  <c r="K313" i="50"/>
  <c r="K314" i="50"/>
  <c r="K315" i="50"/>
  <c r="K316" i="50"/>
  <c r="K317" i="50"/>
  <c r="K318" i="50"/>
  <c r="K319" i="50"/>
  <c r="K320" i="50"/>
  <c r="K321" i="50"/>
  <c r="K322" i="50"/>
  <c r="K323" i="50"/>
  <c r="K324" i="50"/>
  <c r="K325" i="50"/>
  <c r="K326" i="50"/>
  <c r="K327" i="50"/>
  <c r="K328" i="50"/>
  <c r="K329" i="50"/>
  <c r="K330" i="50"/>
  <c r="K331" i="50"/>
  <c r="K332" i="50"/>
  <c r="K333" i="50"/>
  <c r="K334" i="50"/>
  <c r="K335" i="50"/>
  <c r="K336" i="50"/>
  <c r="K337" i="50"/>
  <c r="K338" i="50"/>
  <c r="K339" i="50"/>
  <c r="K340" i="50"/>
  <c r="K341" i="50"/>
  <c r="K342" i="50"/>
  <c r="K343" i="50"/>
  <c r="K344" i="50"/>
  <c r="K345" i="50"/>
  <c r="K346" i="50"/>
  <c r="K347" i="50"/>
  <c r="K348" i="50"/>
  <c r="K349" i="50"/>
  <c r="K350" i="50"/>
  <c r="K351" i="50"/>
  <c r="K352" i="50"/>
  <c r="K353" i="50"/>
  <c r="K354" i="50"/>
  <c r="K355" i="50"/>
  <c r="K356" i="50"/>
  <c r="K357" i="50"/>
  <c r="K358" i="50"/>
  <c r="K359" i="50"/>
  <c r="K360" i="50"/>
  <c r="K361" i="50"/>
  <c r="K362" i="50"/>
  <c r="K363" i="50"/>
  <c r="K364" i="50"/>
  <c r="K365" i="50"/>
  <c r="K366" i="50"/>
  <c r="K367" i="50"/>
  <c r="K368" i="50"/>
  <c r="K369" i="50"/>
  <c r="K370" i="50"/>
  <c r="K371" i="50"/>
  <c r="K372" i="50"/>
  <c r="K373" i="50"/>
  <c r="K374" i="50"/>
  <c r="K375" i="50"/>
  <c r="K376" i="50"/>
  <c r="K377" i="50"/>
  <c r="K378" i="50"/>
  <c r="K379" i="50"/>
  <c r="K380" i="50"/>
  <c r="K381" i="50"/>
  <c r="K382" i="50"/>
  <c r="K383" i="50"/>
  <c r="K384" i="50"/>
  <c r="K385" i="50"/>
  <c r="K386" i="50"/>
  <c r="K387" i="50"/>
  <c r="K388" i="50"/>
  <c r="K389" i="50"/>
  <c r="K390" i="50"/>
  <c r="K391" i="50"/>
  <c r="K392" i="50"/>
  <c r="K393" i="50"/>
  <c r="K394" i="50"/>
  <c r="K395" i="50"/>
  <c r="K396" i="50"/>
  <c r="K397" i="50"/>
  <c r="K398" i="50"/>
  <c r="K399" i="50"/>
  <c r="K400" i="50"/>
  <c r="K401" i="50"/>
  <c r="K402" i="50"/>
  <c r="K403" i="50"/>
  <c r="K404" i="50"/>
  <c r="K405" i="50"/>
  <c r="K406" i="50"/>
  <c r="K407" i="50"/>
  <c r="K408" i="50"/>
  <c r="K409" i="50"/>
  <c r="K410" i="50"/>
  <c r="K411" i="50"/>
  <c r="K412" i="50"/>
  <c r="K413" i="50"/>
  <c r="K414" i="50"/>
  <c r="K415" i="50"/>
  <c r="K416" i="50"/>
  <c r="K417" i="50"/>
  <c r="K418" i="50"/>
  <c r="K419" i="50"/>
  <c r="K420" i="50"/>
  <c r="K421" i="50"/>
  <c r="K422" i="50"/>
  <c r="K423" i="50"/>
  <c r="K424" i="50"/>
  <c r="K425" i="50"/>
  <c r="K426" i="50"/>
  <c r="K427" i="50"/>
  <c r="K428" i="50"/>
  <c r="K429" i="50"/>
  <c r="K430" i="50"/>
  <c r="K431" i="50"/>
  <c r="K432" i="50"/>
  <c r="K433" i="50"/>
  <c r="K434" i="50"/>
  <c r="K435" i="50"/>
  <c r="K436" i="50"/>
  <c r="K437" i="50"/>
  <c r="K438" i="50"/>
  <c r="K439" i="50"/>
  <c r="K440" i="50"/>
  <c r="K441" i="50"/>
  <c r="K442" i="50"/>
  <c r="K443" i="50"/>
  <c r="K444" i="50"/>
  <c r="K445" i="50"/>
  <c r="K446" i="50"/>
  <c r="K447" i="50"/>
  <c r="K448" i="50"/>
  <c r="K449" i="50"/>
  <c r="K450" i="50"/>
  <c r="K451" i="50"/>
  <c r="K452" i="50"/>
  <c r="K453" i="50"/>
  <c r="K454" i="50"/>
  <c r="K455" i="50"/>
  <c r="K456" i="50"/>
  <c r="K457" i="50"/>
  <c r="K458" i="50"/>
  <c r="K459" i="50"/>
  <c r="K460" i="50"/>
  <c r="K461" i="50"/>
  <c r="K462" i="50"/>
  <c r="K463" i="50"/>
  <c r="K464" i="50"/>
  <c r="K465" i="50"/>
  <c r="K466" i="50"/>
  <c r="K467" i="50"/>
  <c r="K468" i="50"/>
  <c r="K469" i="50"/>
  <c r="K470" i="50"/>
  <c r="K471" i="50"/>
  <c r="K472" i="50"/>
  <c r="K473" i="50"/>
  <c r="K474" i="50"/>
  <c r="K475" i="50"/>
  <c r="K476" i="50"/>
  <c r="K477" i="50"/>
  <c r="K478" i="50"/>
  <c r="K479" i="50"/>
  <c r="K480" i="50"/>
  <c r="K481" i="50"/>
  <c r="K482" i="50"/>
  <c r="K483" i="50"/>
  <c r="K484" i="50"/>
  <c r="K485" i="50"/>
  <c r="K486" i="50"/>
  <c r="K487" i="50"/>
  <c r="K488" i="50"/>
  <c r="K489" i="50"/>
  <c r="K490" i="50"/>
  <c r="K491" i="50"/>
  <c r="K492" i="50"/>
  <c r="K493" i="50"/>
  <c r="K494" i="50"/>
  <c r="K495" i="50"/>
  <c r="K496" i="50"/>
  <c r="K497" i="50"/>
  <c r="K498" i="50"/>
  <c r="K499" i="50"/>
  <c r="K500" i="50"/>
  <c r="K501" i="50"/>
  <c r="K502" i="50"/>
  <c r="K503" i="50"/>
  <c r="K504" i="50"/>
  <c r="K505" i="50"/>
  <c r="K506" i="50"/>
  <c r="K507" i="50"/>
  <c r="K508" i="50"/>
  <c r="K509" i="50"/>
  <c r="K510" i="50"/>
  <c r="K511" i="50"/>
  <c r="K512" i="50"/>
  <c r="K513" i="50"/>
  <c r="J47" i="48" l="1"/>
  <c r="K47" i="48"/>
  <c r="L47" i="48"/>
  <c r="M47" i="48"/>
  <c r="N47" i="48"/>
  <c r="O47" i="48"/>
  <c r="P47" i="48"/>
  <c r="Q47" i="48"/>
  <c r="R47" i="48"/>
  <c r="S47" i="48"/>
  <c r="T47" i="48"/>
  <c r="U47" i="48"/>
  <c r="V47" i="48"/>
  <c r="W47" i="48"/>
  <c r="X47" i="48"/>
  <c r="Y47" i="48"/>
  <c r="Z47" i="48"/>
  <c r="AA47" i="48"/>
  <c r="AB47" i="48"/>
  <c r="AC47" i="48"/>
  <c r="AD47" i="48"/>
  <c r="AE47" i="48"/>
  <c r="AF47" i="48"/>
  <c r="AG47" i="48"/>
  <c r="AH47" i="48"/>
  <c r="AI47" i="48"/>
  <c r="AJ47" i="48"/>
  <c r="AK47" i="48"/>
  <c r="AL47" i="48"/>
  <c r="AM47" i="48"/>
  <c r="AN47" i="48"/>
  <c r="AO47" i="48"/>
  <c r="AP47" i="48"/>
  <c r="AQ47" i="48"/>
  <c r="AR47" i="48"/>
  <c r="AS47" i="48"/>
  <c r="AT47" i="48"/>
  <c r="AU47" i="48"/>
  <c r="AV47" i="48"/>
  <c r="AW47" i="48"/>
  <c r="AX47" i="48"/>
  <c r="AY47" i="48"/>
  <c r="AZ47" i="48"/>
  <c r="BA47" i="48"/>
  <c r="BB47" i="48"/>
  <c r="BC47" i="48"/>
  <c r="BD47" i="48"/>
  <c r="BE47" i="48"/>
  <c r="BF47" i="48"/>
  <c r="BG47" i="48"/>
  <c r="BH47" i="48"/>
  <c r="BI47" i="48"/>
  <c r="BJ47" i="48"/>
  <c r="BK47" i="48"/>
  <c r="BL47" i="48"/>
  <c r="BM47" i="48"/>
  <c r="BN47" i="48"/>
  <c r="BO47" i="48"/>
  <c r="BP47" i="48"/>
  <c r="BQ47" i="48"/>
  <c r="BR47" i="48"/>
  <c r="BS47" i="48"/>
  <c r="BT47" i="48"/>
  <c r="BU47" i="48"/>
  <c r="BV47" i="48"/>
  <c r="BW47" i="48"/>
  <c r="BX47" i="48"/>
  <c r="BY47" i="48"/>
  <c r="BZ47" i="48"/>
  <c r="CA47" i="48"/>
  <c r="CB47" i="48"/>
  <c r="CC47" i="48"/>
  <c r="CD47" i="48"/>
  <c r="CE47" i="48"/>
  <c r="CF47" i="48"/>
  <c r="CG47" i="48"/>
  <c r="CH47" i="48"/>
  <c r="CI47" i="48"/>
  <c r="CJ47" i="48"/>
  <c r="CK47" i="48"/>
  <c r="CL47" i="48"/>
  <c r="CM47" i="48"/>
  <c r="CN47" i="48"/>
  <c r="CO47" i="48"/>
  <c r="CP47" i="48"/>
  <c r="CQ47" i="48"/>
  <c r="CR47" i="48"/>
  <c r="CS47" i="48"/>
  <c r="CT47" i="48"/>
  <c r="CU47" i="48"/>
  <c r="CV47" i="48"/>
  <c r="CW47" i="48"/>
  <c r="CX47" i="48"/>
  <c r="CY47" i="48"/>
  <c r="CZ47" i="48"/>
  <c r="DA47" i="48"/>
  <c r="BK34" i="48"/>
  <c r="BL34" i="48"/>
  <c r="BM34" i="48"/>
  <c r="BN34" i="48"/>
  <c r="BO34" i="48"/>
  <c r="BP34" i="48"/>
  <c r="BQ34" i="48"/>
  <c r="BR34" i="48"/>
  <c r="BS34" i="48"/>
  <c r="BT34" i="48"/>
  <c r="BU34" i="48"/>
  <c r="BV34" i="48"/>
  <c r="BW34" i="48"/>
  <c r="BX34" i="48"/>
  <c r="BY34" i="48"/>
  <c r="BZ34" i="48"/>
  <c r="CA34" i="48"/>
  <c r="CB34" i="48"/>
  <c r="CC34" i="48"/>
  <c r="CD34" i="48"/>
  <c r="CE34" i="48"/>
  <c r="CF34" i="48"/>
  <c r="CG34" i="48"/>
  <c r="CH34" i="48"/>
  <c r="CI34" i="48"/>
  <c r="CJ34" i="48"/>
  <c r="CK34" i="48"/>
  <c r="CL34" i="48"/>
  <c r="CM34" i="48"/>
  <c r="CN34" i="48"/>
  <c r="CO34" i="48"/>
  <c r="CP34" i="48"/>
  <c r="CQ34" i="48"/>
  <c r="CR34" i="48"/>
  <c r="CS34" i="48"/>
  <c r="CT34" i="48"/>
  <c r="CU34" i="48"/>
  <c r="CV34" i="48"/>
  <c r="CW34" i="48"/>
  <c r="CX34" i="48"/>
  <c r="CY34" i="48"/>
  <c r="CZ34" i="48"/>
  <c r="DA34" i="48"/>
  <c r="H35" i="48"/>
  <c r="G34" i="49"/>
  <c r="G33" i="49"/>
  <c r="G32" i="49"/>
  <c r="G31" i="49"/>
  <c r="G30" i="49"/>
  <c r="G28" i="49"/>
  <c r="G27" i="49"/>
  <c r="I23" i="49" s="1"/>
  <c r="G26" i="49"/>
  <c r="G25" i="49"/>
  <c r="G24" i="49"/>
  <c r="G23" i="49"/>
  <c r="G22" i="49"/>
  <c r="G21" i="49"/>
  <c r="G20" i="49"/>
  <c r="I24" i="49" s="1"/>
  <c r="J17" i="49"/>
  <c r="I17" i="49"/>
  <c r="K17" i="49" s="1"/>
  <c r="J16" i="49"/>
  <c r="I16" i="49"/>
  <c r="K16" i="49" s="1"/>
  <c r="J15" i="49"/>
  <c r="I15" i="49"/>
  <c r="K15" i="49" s="1"/>
  <c r="J14" i="49"/>
  <c r="I14" i="49"/>
  <c r="K14" i="49" s="1"/>
  <c r="J13" i="49"/>
  <c r="I13" i="49"/>
  <c r="K13" i="49" s="1"/>
  <c r="J12" i="49"/>
  <c r="I12" i="49"/>
  <c r="K12" i="49" s="1"/>
  <c r="J11" i="49"/>
  <c r="I11" i="49"/>
  <c r="J10" i="49"/>
  <c r="I10" i="49"/>
  <c r="K10" i="49" s="1"/>
  <c r="J9" i="49"/>
  <c r="I9" i="49"/>
  <c r="K9" i="49" s="1"/>
  <c r="J8" i="49"/>
  <c r="I8" i="49"/>
  <c r="K8" i="49" s="1"/>
  <c r="J7" i="49"/>
  <c r="I7" i="49"/>
  <c r="K7" i="49" s="1"/>
  <c r="J6" i="49"/>
  <c r="I6" i="49"/>
  <c r="K6" i="49" s="1"/>
  <c r="J5" i="49"/>
  <c r="I5" i="49"/>
  <c r="J4" i="49"/>
  <c r="I4" i="49"/>
  <c r="J3" i="49"/>
  <c r="I3" i="49"/>
  <c r="K3" i="49" s="1"/>
  <c r="O48" i="48" l="1"/>
  <c r="K4" i="49"/>
  <c r="K5" i="49"/>
  <c r="I26" i="49"/>
  <c r="I25" i="49"/>
  <c r="K11" i="49"/>
  <c r="I21" i="49"/>
  <c r="I22" i="49"/>
  <c r="O35" i="48"/>
  <c r="H36" i="48"/>
  <c r="BW48" i="48"/>
  <c r="AV48" i="48"/>
  <c r="BX48" i="48"/>
  <c r="AZ48" i="48"/>
  <c r="AU48" i="48"/>
  <c r="AC48" i="48"/>
  <c r="CI48" i="48"/>
  <c r="BY48" i="48"/>
  <c r="BV48" i="48"/>
  <c r="N48" i="48"/>
  <c r="BZ35" i="48"/>
  <c r="BO35" i="48"/>
  <c r="BN35" i="48"/>
  <c r="BM35" i="48"/>
  <c r="BL35" i="48"/>
  <c r="CZ35" i="48"/>
  <c r="AP35" i="48"/>
  <c r="CV35" i="48"/>
  <c r="CU35" i="48"/>
  <c r="AM35" i="48"/>
  <c r="AU35" i="48"/>
  <c r="AS35" i="48"/>
  <c r="CY35" i="48"/>
  <c r="AO35" i="48"/>
  <c r="CB35" i="48"/>
  <c r="AE35" i="48"/>
  <c r="DA35" i="48"/>
  <c r="CA35" i="48"/>
  <c r="AB35" i="48"/>
  <c r="CR35" i="48"/>
  <c r="BK35" i="48"/>
  <c r="AA35" i="48"/>
  <c r="AS48" i="48"/>
  <c r="CK35" i="48"/>
  <c r="BJ35" i="48"/>
  <c r="X35" i="48"/>
  <c r="CV48" i="48"/>
  <c r="AR48" i="48"/>
  <c r="CH35" i="48"/>
  <c r="BH35" i="48"/>
  <c r="W35" i="48"/>
  <c r="CQ48" i="48"/>
  <c r="AG48" i="48"/>
  <c r="CF35" i="48"/>
  <c r="AX35" i="48"/>
  <c r="U35" i="48"/>
  <c r="CM48" i="48"/>
  <c r="AD48" i="48"/>
  <c r="CC35" i="48"/>
  <c r="AV35" i="48"/>
  <c r="T35" i="48"/>
  <c r="S35" i="48"/>
  <c r="BT48" i="48"/>
  <c r="AB48" i="48"/>
  <c r="CO35" i="48"/>
  <c r="BX35" i="48"/>
  <c r="BC35" i="48"/>
  <c r="AJ35" i="48"/>
  <c r="R35" i="48"/>
  <c r="AL35" i="48"/>
  <c r="CY48" i="48"/>
  <c r="BS48" i="48"/>
  <c r="W48" i="48"/>
  <c r="CN35" i="48"/>
  <c r="BW35" i="48"/>
  <c r="BA35" i="48"/>
  <c r="AI35" i="48"/>
  <c r="Q35" i="48"/>
  <c r="BD35" i="48"/>
  <c r="CX48" i="48"/>
  <c r="BH48" i="48"/>
  <c r="S48" i="48"/>
  <c r="CM35" i="48"/>
  <c r="BS35" i="48"/>
  <c r="AZ35" i="48"/>
  <c r="AG35" i="48"/>
  <c r="N35" i="48"/>
  <c r="CQ35" i="48"/>
  <c r="BY35" i="48"/>
  <c r="CW48" i="48"/>
  <c r="BD48" i="48"/>
  <c r="R48" i="48"/>
  <c r="CL35" i="48"/>
  <c r="BQ35" i="48"/>
  <c r="AY35" i="48"/>
  <c r="AF35" i="48"/>
  <c r="L35" i="48"/>
  <c r="CK48" i="48"/>
  <c r="BK48" i="48"/>
  <c r="AP48" i="48"/>
  <c r="P48" i="48"/>
  <c r="CL48" i="48"/>
  <c r="BN48" i="48"/>
  <c r="AQ48" i="48"/>
  <c r="Q48" i="48"/>
  <c r="CJ48" i="48"/>
  <c r="BJ48" i="48"/>
  <c r="AL48" i="48"/>
  <c r="J48" i="48"/>
  <c r="V48" i="48"/>
  <c r="AH48" i="48"/>
  <c r="AT48" i="48"/>
  <c r="BF48" i="48"/>
  <c r="BR48" i="48"/>
  <c r="CD48" i="48"/>
  <c r="CP48" i="48"/>
  <c r="M48" i="48"/>
  <c r="Y48" i="48"/>
  <c r="AK48" i="48"/>
  <c r="AW48" i="48"/>
  <c r="BI48" i="48"/>
  <c r="BU48" i="48"/>
  <c r="CG48" i="48"/>
  <c r="CS48" i="48"/>
  <c r="T48" i="48"/>
  <c r="AI48" i="48"/>
  <c r="AX48" i="48"/>
  <c r="BL48" i="48"/>
  <c r="BZ48" i="48"/>
  <c r="CN48" i="48"/>
  <c r="U48" i="48"/>
  <c r="AJ48" i="48"/>
  <c r="AY48" i="48"/>
  <c r="BM48" i="48"/>
  <c r="CA48" i="48"/>
  <c r="CO48" i="48"/>
  <c r="X48" i="48"/>
  <c r="AM48" i="48"/>
  <c r="BA48" i="48"/>
  <c r="BO48" i="48"/>
  <c r="CC48" i="48"/>
  <c r="CR48" i="48"/>
  <c r="AA48" i="48"/>
  <c r="BC48" i="48"/>
  <c r="CF48" i="48"/>
  <c r="K48" i="48"/>
  <c r="Z48" i="48"/>
  <c r="AN48" i="48"/>
  <c r="BB48" i="48"/>
  <c r="BP48" i="48"/>
  <c r="CE48" i="48"/>
  <c r="CT48" i="48"/>
  <c r="L48" i="48"/>
  <c r="AO48" i="48"/>
  <c r="BQ48" i="48"/>
  <c r="CU48" i="48"/>
  <c r="DA48" i="48"/>
  <c r="CH48" i="48"/>
  <c r="BG48" i="48"/>
  <c r="AF48" i="48"/>
  <c r="CZ48" i="48"/>
  <c r="CB48" i="48"/>
  <c r="BE48" i="48"/>
  <c r="AE48" i="48"/>
  <c r="CX35" i="48"/>
  <c r="CJ35" i="48"/>
  <c r="BV35" i="48"/>
  <c r="BG35" i="48"/>
  <c r="AR35" i="48"/>
  <c r="AD35" i="48"/>
  <c r="P35" i="48"/>
  <c r="CW35" i="48"/>
  <c r="CI35" i="48"/>
  <c r="BT35" i="48"/>
  <c r="BE35" i="48"/>
  <c r="AQ35" i="48"/>
  <c r="AC35" i="48"/>
  <c r="J35" i="48"/>
  <c r="V35" i="48"/>
  <c r="AH35" i="48"/>
  <c r="AT35" i="48"/>
  <c r="BF35" i="48"/>
  <c r="BR35" i="48"/>
  <c r="CD35" i="48"/>
  <c r="CP35" i="48"/>
  <c r="M35" i="48"/>
  <c r="Y35" i="48"/>
  <c r="AK35" i="48"/>
  <c r="AW35" i="48"/>
  <c r="BI35" i="48"/>
  <c r="BU35" i="48"/>
  <c r="CG35" i="48"/>
  <c r="CS35" i="48"/>
  <c r="CT35" i="48"/>
  <c r="CE35" i="48"/>
  <c r="BP35" i="48"/>
  <c r="BB35" i="48"/>
  <c r="AN35" i="48"/>
  <c r="Z35" i="48"/>
  <c r="K35" i="48"/>
  <c r="AI50" i="48" l="1"/>
  <c r="I27" i="49"/>
  <c r="J36" i="48"/>
  <c r="V36" i="48"/>
  <c r="AH36" i="48"/>
  <c r="AT36" i="48"/>
  <c r="BF36" i="48"/>
  <c r="BR36" i="48"/>
  <c r="CD36" i="48"/>
  <c r="CP36" i="48"/>
  <c r="M36" i="48"/>
  <c r="Y36" i="48"/>
  <c r="AK36" i="48"/>
  <c r="AW36" i="48"/>
  <c r="BI36" i="48"/>
  <c r="BU36" i="48"/>
  <c r="CG36" i="48"/>
  <c r="CS36" i="48"/>
  <c r="P36" i="48"/>
  <c r="AD36" i="48"/>
  <c r="AR36" i="48"/>
  <c r="BG36" i="48"/>
  <c r="BV36" i="48"/>
  <c r="CJ36" i="48"/>
  <c r="CX36" i="48"/>
  <c r="Q36" i="48"/>
  <c r="AE36" i="48"/>
  <c r="AS36" i="48"/>
  <c r="BH36" i="48"/>
  <c r="BW36" i="48"/>
  <c r="CK36" i="48"/>
  <c r="CY36" i="48"/>
  <c r="S36" i="48"/>
  <c r="AG36" i="48"/>
  <c r="AV36" i="48"/>
  <c r="BK36" i="48"/>
  <c r="BY36" i="48"/>
  <c r="CM36" i="48"/>
  <c r="DA36" i="48"/>
  <c r="U36" i="48"/>
  <c r="AJ36" i="48"/>
  <c r="AY36" i="48"/>
  <c r="BM36" i="48"/>
  <c r="CA36" i="48"/>
  <c r="CO36" i="48"/>
  <c r="T36" i="48"/>
  <c r="AI36" i="48"/>
  <c r="AX36" i="48"/>
  <c r="BL36" i="48"/>
  <c r="BZ36" i="48"/>
  <c r="CN36" i="48"/>
  <c r="L36" i="48"/>
  <c r="AM36" i="48"/>
  <c r="BJ36" i="48"/>
  <c r="CH36" i="48"/>
  <c r="N36" i="48"/>
  <c r="AN36" i="48"/>
  <c r="BN36" i="48"/>
  <c r="CI36" i="48"/>
  <c r="O36" i="48"/>
  <c r="AO36" i="48"/>
  <c r="BO36" i="48"/>
  <c r="CL36" i="48"/>
  <c r="BD36" i="48"/>
  <c r="K36" i="48"/>
  <c r="BE36" i="48"/>
  <c r="CF36" i="48"/>
  <c r="R36" i="48"/>
  <c r="AP36" i="48"/>
  <c r="BP36" i="48"/>
  <c r="CQ36" i="48"/>
  <c r="X36" i="48"/>
  <c r="AU36" i="48"/>
  <c r="BS36" i="48"/>
  <c r="CT36" i="48"/>
  <c r="Z36" i="48"/>
  <c r="AZ36" i="48"/>
  <c r="BT36" i="48"/>
  <c r="CU36" i="48"/>
  <c r="AB36" i="48"/>
  <c r="BB36" i="48"/>
  <c r="CB36" i="48"/>
  <c r="CW36" i="48"/>
  <c r="AF36" i="48"/>
  <c r="CE36" i="48"/>
  <c r="AL36" i="48"/>
  <c r="W36" i="48"/>
  <c r="AQ36" i="48"/>
  <c r="BQ36" i="48"/>
  <c r="CR36" i="48"/>
  <c r="AA36" i="48"/>
  <c r="BA36" i="48"/>
  <c r="BX36" i="48"/>
  <c r="CV36" i="48"/>
  <c r="AC36" i="48"/>
  <c r="BC36" i="48"/>
  <c r="CC36" i="48"/>
  <c r="CZ36" i="48"/>
  <c r="BW50" i="48"/>
  <c r="CU50" i="48"/>
  <c r="T50" i="48"/>
  <c r="AZ50" i="48"/>
  <c r="CG50" i="48"/>
  <c r="N50" i="48"/>
  <c r="CP50" i="48"/>
  <c r="BA50" i="48"/>
  <c r="AU50" i="48"/>
  <c r="BO50" i="48"/>
  <c r="CD50" i="48"/>
  <c r="J49" i="48"/>
  <c r="V49" i="48"/>
  <c r="AH49" i="48"/>
  <c r="AT49" i="48"/>
  <c r="BF49" i="48"/>
  <c r="BR49" i="48"/>
  <c r="CD49" i="48"/>
  <c r="CP49" i="48"/>
  <c r="M49" i="48"/>
  <c r="Y49" i="48"/>
  <c r="AK49" i="48"/>
  <c r="AW49" i="48"/>
  <c r="BI49" i="48"/>
  <c r="BU49" i="48"/>
  <c r="CG49" i="48"/>
  <c r="CS49" i="48"/>
  <c r="K49" i="48"/>
  <c r="Z49" i="48"/>
  <c r="AN49" i="48"/>
  <c r="BB49" i="48"/>
  <c r="BP49" i="48"/>
  <c r="CE49" i="48"/>
  <c r="CT49" i="48"/>
  <c r="O49" i="48"/>
  <c r="AC49" i="48"/>
  <c r="AQ49" i="48"/>
  <c r="BE49" i="48"/>
  <c r="BT49" i="48"/>
  <c r="CI49" i="48"/>
  <c r="CW49" i="48"/>
  <c r="P49" i="48"/>
  <c r="AE49" i="48"/>
  <c r="BW49" i="48"/>
  <c r="AD49" i="48"/>
  <c r="AR49" i="48"/>
  <c r="BG49" i="48"/>
  <c r="BV49" i="48"/>
  <c r="CJ49" i="48"/>
  <c r="CX49" i="48"/>
  <c r="Q49" i="48"/>
  <c r="AS49" i="48"/>
  <c r="BH49" i="48"/>
  <c r="CK49" i="48"/>
  <c r="AF49" i="48"/>
  <c r="AZ49" i="48"/>
  <c r="BX49" i="48"/>
  <c r="CQ49" i="48"/>
  <c r="AG49" i="48"/>
  <c r="BA49" i="48"/>
  <c r="BY49" i="48"/>
  <c r="CR49" i="48"/>
  <c r="L49" i="48"/>
  <c r="AI49" i="48"/>
  <c r="BC49" i="48"/>
  <c r="BZ49" i="48"/>
  <c r="CU49" i="48"/>
  <c r="W49" i="48"/>
  <c r="BN49" i="48"/>
  <c r="X49" i="48"/>
  <c r="BQ49" i="48"/>
  <c r="N49" i="48"/>
  <c r="AJ49" i="48"/>
  <c r="BD49" i="48"/>
  <c r="CA49" i="48"/>
  <c r="CV49" i="48"/>
  <c r="S49" i="48"/>
  <c r="AM49" i="48"/>
  <c r="BK49" i="48"/>
  <c r="CC49" i="48"/>
  <c r="CZ49" i="48"/>
  <c r="T49" i="48"/>
  <c r="BL49" i="48"/>
  <c r="U49" i="48"/>
  <c r="BM49" i="48"/>
  <c r="CH49" i="48"/>
  <c r="AU49" i="48"/>
  <c r="CL49" i="48"/>
  <c r="AV49" i="48"/>
  <c r="CM49" i="48"/>
  <c r="AA49" i="48"/>
  <c r="AX49" i="48"/>
  <c r="R49" i="48"/>
  <c r="AL49" i="48"/>
  <c r="BJ49" i="48"/>
  <c r="CB49" i="48"/>
  <c r="CY49" i="48"/>
  <c r="AO49" i="48"/>
  <c r="CF49" i="48"/>
  <c r="DA49" i="48"/>
  <c r="AP49" i="48"/>
  <c r="BO49" i="48"/>
  <c r="CN49" i="48"/>
  <c r="AB49" i="48"/>
  <c r="AY49" i="48"/>
  <c r="BS49" i="48"/>
  <c r="CO49" i="48"/>
  <c r="H37" i="48"/>
  <c r="A28" i="48"/>
  <c r="A27" i="48"/>
  <c r="A26" i="48"/>
  <c r="A25" i="48"/>
  <c r="A24" i="48"/>
  <c r="A23" i="48"/>
  <c r="A22" i="48"/>
  <c r="A21" i="48"/>
  <c r="A20" i="48"/>
  <c r="A18" i="48"/>
  <c r="A17" i="48"/>
  <c r="A16" i="48"/>
  <c r="A15" i="48"/>
  <c r="A14" i="48"/>
  <c r="A13" i="48"/>
  <c r="A12" i="48"/>
  <c r="A11" i="48"/>
  <c r="A10" i="48"/>
  <c r="CI50" i="48" l="1"/>
  <c r="CX50" i="48"/>
  <c r="L50" i="48"/>
  <c r="BG50" i="48"/>
  <c r="BQ50" i="48"/>
  <c r="CO50" i="48"/>
  <c r="AR50" i="48"/>
  <c r="AE50" i="48"/>
  <c r="AN50" i="48"/>
  <c r="AD50" i="48"/>
  <c r="CL50" i="48"/>
  <c r="CW50" i="48"/>
  <c r="U50" i="48"/>
  <c r="P50" i="48"/>
  <c r="BU50" i="48"/>
  <c r="CC50" i="48"/>
  <c r="CM50" i="48"/>
  <c r="BI50" i="48"/>
  <c r="BC50" i="48"/>
  <c r="BN50" i="48"/>
  <c r="BV50" i="48"/>
  <c r="V50" i="48"/>
  <c r="AF50" i="48"/>
  <c r="AS50" i="48"/>
  <c r="BD50" i="48"/>
  <c r="J50" i="48"/>
  <c r="CE50" i="48"/>
  <c r="AA50" i="48"/>
  <c r="Q50" i="48"/>
  <c r="CQ50" i="48"/>
  <c r="BP50" i="48"/>
  <c r="CA50" i="48"/>
  <c r="BZ50" i="48"/>
  <c r="AM50" i="48"/>
  <c r="BK50" i="48"/>
  <c r="AW50" i="48"/>
  <c r="DA50" i="48"/>
  <c r="CB50" i="48"/>
  <c r="AY50" i="48"/>
  <c r="BJ50" i="48"/>
  <c r="BH50" i="48"/>
  <c r="R50" i="48"/>
  <c r="AV50" i="48"/>
  <c r="AK50" i="48"/>
  <c r="AL50" i="48"/>
  <c r="BM50" i="48"/>
  <c r="AC50" i="48"/>
  <c r="AP50" i="48"/>
  <c r="AO50" i="48"/>
  <c r="CV50" i="48"/>
  <c r="AG50" i="48"/>
  <c r="Y50" i="48"/>
  <c r="CZ50" i="48"/>
  <c r="AQ50" i="48"/>
  <c r="K50" i="48"/>
  <c r="X50" i="48"/>
  <c r="W50" i="48"/>
  <c r="CJ50" i="48"/>
  <c r="S50" i="48"/>
  <c r="M50" i="48"/>
  <c r="BB50" i="48"/>
  <c r="Z50" i="48"/>
  <c r="CT50" i="48"/>
  <c r="CK50" i="48"/>
  <c r="CN50" i="48"/>
  <c r="BX50" i="48"/>
  <c r="CR50" i="48"/>
  <c r="BF50" i="48"/>
  <c r="CY50" i="48"/>
  <c r="BS50" i="48"/>
  <c r="AB50" i="48"/>
  <c r="AJ50" i="48"/>
  <c r="BY50" i="48"/>
  <c r="BL50" i="48"/>
  <c r="CF50" i="48"/>
  <c r="AT50" i="48"/>
  <c r="BR50" i="48"/>
  <c r="O50" i="48"/>
  <c r="CS50" i="48"/>
  <c r="CH50" i="48"/>
  <c r="BE50" i="48"/>
  <c r="AX50" i="48"/>
  <c r="BT50" i="48"/>
  <c r="AH50" i="48"/>
  <c r="E3" i="48"/>
  <c r="E4" i="48"/>
  <c r="E5" i="48"/>
  <c r="E6" i="48"/>
  <c r="J37" i="48"/>
  <c r="V37" i="48"/>
  <c r="AH37" i="48"/>
  <c r="AT37" i="48"/>
  <c r="BF37" i="48"/>
  <c r="BR37" i="48"/>
  <c r="CD37" i="48"/>
  <c r="CP37" i="48"/>
  <c r="M37" i="48"/>
  <c r="Y37" i="48"/>
  <c r="AK37" i="48"/>
  <c r="AW37" i="48"/>
  <c r="BI37" i="48"/>
  <c r="BU37" i="48"/>
  <c r="CG37" i="48"/>
  <c r="CS37" i="48"/>
  <c r="T37" i="48"/>
  <c r="AI37" i="48"/>
  <c r="AX37" i="48"/>
  <c r="BL37" i="48"/>
  <c r="BZ37" i="48"/>
  <c r="CN37" i="48"/>
  <c r="U37" i="48"/>
  <c r="AJ37" i="48"/>
  <c r="AY37" i="48"/>
  <c r="BM37" i="48"/>
  <c r="CA37" i="48"/>
  <c r="CO37" i="48"/>
  <c r="X37" i="48"/>
  <c r="AM37" i="48"/>
  <c r="BA37" i="48"/>
  <c r="BO37" i="48"/>
  <c r="CC37" i="48"/>
  <c r="CR37" i="48"/>
  <c r="L37" i="48"/>
  <c r="AA37" i="48"/>
  <c r="AO37" i="48"/>
  <c r="BC37" i="48"/>
  <c r="BQ37" i="48"/>
  <c r="CF37" i="48"/>
  <c r="CU37" i="48"/>
  <c r="K37" i="48"/>
  <c r="Z37" i="48"/>
  <c r="AN37" i="48"/>
  <c r="BB37" i="48"/>
  <c r="BP37" i="48"/>
  <c r="CE37" i="48"/>
  <c r="CT37" i="48"/>
  <c r="P37" i="48"/>
  <c r="AP37" i="48"/>
  <c r="BK37" i="48"/>
  <c r="CK37" i="48"/>
  <c r="Q37" i="48"/>
  <c r="AQ37" i="48"/>
  <c r="BN37" i="48"/>
  <c r="CL37" i="48"/>
  <c r="R37" i="48"/>
  <c r="AR37" i="48"/>
  <c r="BS37" i="48"/>
  <c r="CM37" i="48"/>
  <c r="N37" i="48"/>
  <c r="BH37" i="48"/>
  <c r="AL37" i="48"/>
  <c r="S37" i="48"/>
  <c r="AS37" i="48"/>
  <c r="BT37" i="48"/>
  <c r="CQ37" i="48"/>
  <c r="AB37" i="48"/>
  <c r="AV37" i="48"/>
  <c r="BW37" i="48"/>
  <c r="CW37" i="48"/>
  <c r="AC37" i="48"/>
  <c r="AZ37" i="48"/>
  <c r="BX37" i="48"/>
  <c r="CX37" i="48"/>
  <c r="BD37" i="48"/>
  <c r="BE37" i="48"/>
  <c r="CB37" i="48"/>
  <c r="CZ37" i="48"/>
  <c r="AG37" i="48"/>
  <c r="CI37" i="48"/>
  <c r="O37" i="48"/>
  <c r="CJ37" i="48"/>
  <c r="W37" i="48"/>
  <c r="AU37" i="48"/>
  <c r="BV37" i="48"/>
  <c r="CV37" i="48"/>
  <c r="AD37" i="48"/>
  <c r="BY37" i="48"/>
  <c r="CY37" i="48"/>
  <c r="AE37" i="48"/>
  <c r="AF37" i="48"/>
  <c r="BG37" i="48"/>
  <c r="CH37" i="48"/>
  <c r="DA37" i="48"/>
  <c r="BJ37" i="48"/>
  <c r="H38" i="48"/>
  <c r="H39" i="48" l="1"/>
  <c r="J38" i="48"/>
  <c r="V38" i="48"/>
  <c r="AH38" i="48"/>
  <c r="AT38" i="48"/>
  <c r="BF38" i="48"/>
  <c r="BR38" i="48"/>
  <c r="CD38" i="48"/>
  <c r="CP38" i="48"/>
  <c r="M38" i="48"/>
  <c r="Y38" i="48"/>
  <c r="AK38" i="48"/>
  <c r="AW38" i="48"/>
  <c r="BI38" i="48"/>
  <c r="BU38" i="48"/>
  <c r="CG38" i="48"/>
  <c r="CS38" i="48"/>
  <c r="K38" i="48"/>
  <c r="Z38" i="48"/>
  <c r="AN38" i="48"/>
  <c r="BB38" i="48"/>
  <c r="BP38" i="48"/>
  <c r="CE38" i="48"/>
  <c r="CT38" i="48"/>
  <c r="L38" i="48"/>
  <c r="AA38" i="48"/>
  <c r="AO38" i="48"/>
  <c r="BC38" i="48"/>
  <c r="BQ38" i="48"/>
  <c r="CF38" i="48"/>
  <c r="CU38" i="48"/>
  <c r="O38" i="48"/>
  <c r="AC38" i="48"/>
  <c r="AQ38" i="48"/>
  <c r="BE38" i="48"/>
  <c r="BT38" i="48"/>
  <c r="CI38" i="48"/>
  <c r="CW38" i="48"/>
  <c r="Q38" i="48"/>
  <c r="AE38" i="48"/>
  <c r="AS38" i="48"/>
  <c r="BH38" i="48"/>
  <c r="BW38" i="48"/>
  <c r="CK38" i="48"/>
  <c r="CY38" i="48"/>
  <c r="P38" i="48"/>
  <c r="AD38" i="48"/>
  <c r="AR38" i="48"/>
  <c r="BG38" i="48"/>
  <c r="BV38" i="48"/>
  <c r="CJ38" i="48"/>
  <c r="CX38" i="48"/>
  <c r="S38" i="48"/>
  <c r="AP38" i="48"/>
  <c r="BN38" i="48"/>
  <c r="CN38" i="48"/>
  <c r="T38" i="48"/>
  <c r="AU38" i="48"/>
  <c r="BO38" i="48"/>
  <c r="CO38" i="48"/>
  <c r="U38" i="48"/>
  <c r="AV38" i="48"/>
  <c r="BS38" i="48"/>
  <c r="CQ38" i="48"/>
  <c r="AI38" i="48"/>
  <c r="N38" i="48"/>
  <c r="BL38" i="48"/>
  <c r="R38" i="48"/>
  <c r="BM38" i="48"/>
  <c r="W38" i="48"/>
  <c r="AX38" i="48"/>
  <c r="BX38" i="48"/>
  <c r="CR38" i="48"/>
  <c r="AB38" i="48"/>
  <c r="AZ38" i="48"/>
  <c r="BZ38" i="48"/>
  <c r="CZ38" i="48"/>
  <c r="AF38" i="48"/>
  <c r="BA38" i="48"/>
  <c r="DA38" i="48"/>
  <c r="BJ38" i="48"/>
  <c r="CC38" i="48"/>
  <c r="AL38" i="48"/>
  <c r="CL38" i="48"/>
  <c r="AM38" i="48"/>
  <c r="X38" i="48"/>
  <c r="AY38" i="48"/>
  <c r="BY38" i="48"/>
  <c r="CV38" i="48"/>
  <c r="CA38" i="48"/>
  <c r="AG38" i="48"/>
  <c r="BD38" i="48"/>
  <c r="CB38" i="48"/>
  <c r="AJ38" i="48"/>
  <c r="BK38" i="48"/>
  <c r="CH38" i="48"/>
  <c r="CM38" i="48"/>
  <c r="H40" i="48" l="1"/>
  <c r="H41" i="48" s="1"/>
  <c r="H42" i="48" s="1"/>
  <c r="H43" i="48" s="1"/>
  <c r="H44" i="48" s="1"/>
  <c r="H45" i="48" s="1"/>
  <c r="CP39" i="48"/>
  <c r="BE39" i="48"/>
  <c r="CY39" i="48"/>
  <c r="BB39" i="48"/>
  <c r="AA39" i="48"/>
  <c r="X39" i="48"/>
  <c r="BY39" i="48"/>
  <c r="AJ39" i="48"/>
  <c r="AS39" i="48"/>
  <c r="BR39" i="48"/>
  <c r="AG39" i="48"/>
  <c r="CA39" i="48"/>
  <c r="AD39" i="48"/>
  <c r="BM39" i="48"/>
  <c r="CF39" i="48"/>
  <c r="AL39" i="48"/>
  <c r="CR39" i="48"/>
  <c r="U39" i="48"/>
  <c r="CZ39" i="48"/>
  <c r="AN39" i="48"/>
  <c r="CN39" i="48"/>
  <c r="AQ39" i="48"/>
  <c r="BT39" i="48"/>
  <c r="W39" i="48"/>
  <c r="V39" i="48"/>
  <c r="AE39" i="48"/>
  <c r="AX39" i="48"/>
  <c r="BL39" i="48"/>
  <c r="BG39" i="48"/>
  <c r="BP39" i="48"/>
  <c r="CQ39" i="48"/>
  <c r="BD39" i="48"/>
  <c r="BU39" i="48"/>
  <c r="AR39" i="48"/>
  <c r="CC39" i="48"/>
  <c r="BZ39" i="48"/>
  <c r="BS39" i="48"/>
  <c r="BK39" i="48"/>
  <c r="BW39" i="48"/>
  <c r="BQ39" i="48"/>
  <c r="T39" i="48"/>
  <c r="BN39" i="48"/>
  <c r="AW39" i="48"/>
  <c r="AO39" i="48"/>
  <c r="CU39" i="48"/>
  <c r="BA39" i="48"/>
  <c r="L39" i="48"/>
  <c r="CD39" i="48"/>
  <c r="CM39" i="48"/>
  <c r="AP39" i="48"/>
  <c r="CI39" i="48"/>
  <c r="CW39" i="48"/>
  <c r="BH39" i="48"/>
  <c r="N39" i="48"/>
  <c r="BF39" i="48"/>
  <c r="BO39" i="48"/>
  <c r="R39" i="48"/>
  <c r="AV39" i="48"/>
  <c r="BJ39" i="48"/>
  <c r="P39" i="48"/>
  <c r="BV39" i="48"/>
  <c r="AT39" i="48"/>
  <c r="BC39" i="48"/>
  <c r="CK39" i="48"/>
  <c r="Z39" i="48"/>
  <c r="CT39" i="48"/>
  <c r="AZ39" i="48"/>
  <c r="AH39" i="48"/>
  <c r="CH39" i="48"/>
  <c r="BX39" i="48"/>
  <c r="AI39" i="48"/>
  <c r="CB39" i="48"/>
  <c r="CV39" i="48"/>
  <c r="M39" i="48"/>
  <c r="J39" i="48"/>
  <c r="S39" i="48"/>
  <c r="AB39" i="48"/>
  <c r="AU39" i="48"/>
  <c r="CE39" i="48"/>
  <c r="AK39" i="48"/>
  <c r="DA39" i="48"/>
  <c r="CX39" i="48"/>
  <c r="K39" i="48"/>
  <c r="Y39" i="48"/>
  <c r="BI39" i="48"/>
  <c r="O39" i="48"/>
  <c r="CO39" i="48"/>
  <c r="CL39" i="48"/>
  <c r="CJ39" i="48"/>
  <c r="CG39" i="48"/>
  <c r="AM39" i="48"/>
  <c r="CS39" i="48"/>
  <c r="AY39" i="48"/>
  <c r="AF39" i="48"/>
  <c r="Q39" i="48"/>
  <c r="AC39" i="48"/>
  <c r="CP41" i="48"/>
  <c r="BQ41" i="48"/>
  <c r="BE41" i="48"/>
  <c r="T41" i="48"/>
  <c r="CY41" i="48"/>
  <c r="O41" i="48"/>
  <c r="CT41" i="48"/>
  <c r="AD41" i="48"/>
  <c r="R41" i="48"/>
  <c r="BX41" i="48"/>
  <c r="BL41" i="48"/>
  <c r="CS41" i="48"/>
  <c r="AW41" i="48"/>
  <c r="AI41" i="48"/>
  <c r="BU41" i="48"/>
  <c r="L41" i="48"/>
  <c r="BG41" i="48" l="1"/>
  <c r="CJ41" i="48"/>
  <c r="AF41" i="48"/>
  <c r="AJ41" i="48"/>
  <c r="CV41" i="48"/>
  <c r="AY41" i="48"/>
  <c r="CO41" i="48"/>
  <c r="AM41" i="48"/>
  <c r="BN41" i="48"/>
  <c r="BD41" i="48"/>
  <c r="W41" i="48"/>
  <c r="BZ41" i="48"/>
  <c r="BP41" i="48"/>
  <c r="CG41" i="48"/>
  <c r="AO41" i="48"/>
  <c r="AE41" i="48"/>
  <c r="V41" i="48"/>
  <c r="AU41" i="48"/>
  <c r="BA41" i="48"/>
  <c r="AQ41" i="48"/>
  <c r="CN41" i="48"/>
  <c r="AH41" i="48"/>
  <c r="CQ41" i="48"/>
  <c r="P41" i="48"/>
  <c r="AL41" i="48"/>
  <c r="BC41" i="48"/>
  <c r="CZ41" i="48"/>
  <c r="AB41" i="48"/>
  <c r="AX41" i="48"/>
  <c r="U41" i="48"/>
  <c r="BT41" i="48"/>
  <c r="CR41" i="48"/>
  <c r="AN41" i="48"/>
  <c r="CK41" i="48"/>
  <c r="BV41" i="48"/>
  <c r="CA41" i="48"/>
  <c r="AG41" i="48"/>
  <c r="BR41" i="48"/>
  <c r="CE41" i="48"/>
  <c r="N41" i="48"/>
  <c r="AP41" i="48"/>
  <c r="AA41" i="48"/>
  <c r="CC41" i="48"/>
  <c r="M41" i="48"/>
  <c r="BJ41" i="48"/>
  <c r="BB41" i="48"/>
  <c r="AR41" i="48"/>
  <c r="BH41" i="48"/>
  <c r="CF41" i="48"/>
  <c r="Q41" i="48"/>
  <c r="CI41" i="48"/>
  <c r="DA41" i="48"/>
  <c r="AK41" i="48"/>
  <c r="BK41" i="48"/>
  <c r="AC41" i="48"/>
  <c r="S41" i="48"/>
  <c r="J41" i="48"/>
  <c r="BI41" i="48"/>
  <c r="BW41" i="48"/>
  <c r="CL41" i="48"/>
  <c r="CB41" i="48"/>
  <c r="X41" i="48"/>
  <c r="CU41" i="48"/>
  <c r="CX41" i="48"/>
  <c r="BS41" i="48"/>
  <c r="BM41" i="48"/>
  <c r="AT41" i="48"/>
  <c r="Y41" i="48"/>
  <c r="AV41" i="48"/>
  <c r="BY41" i="48"/>
  <c r="BO41" i="48"/>
  <c r="BF41" i="48"/>
  <c r="Z41" i="48"/>
  <c r="K41" i="48"/>
  <c r="AZ41" i="48"/>
  <c r="CW41" i="48"/>
  <c r="CH41" i="48"/>
  <c r="CM41" i="48"/>
  <c r="AS41" i="48"/>
  <c r="CD41" i="48"/>
  <c r="DA42" i="48"/>
  <c r="CO42" i="48"/>
  <c r="CC42" i="48"/>
  <c r="BQ42" i="48"/>
  <c r="BE42" i="48"/>
  <c r="AS42" i="48"/>
  <c r="AG42" i="48"/>
  <c r="U42" i="48"/>
  <c r="CZ42" i="48"/>
  <c r="CN42" i="48"/>
  <c r="CB42" i="48"/>
  <c r="BP42" i="48"/>
  <c r="BD42" i="48"/>
  <c r="AR42" i="48"/>
  <c r="AF42" i="48"/>
  <c r="T42" i="48"/>
  <c r="CY42" i="48"/>
  <c r="CM42" i="48"/>
  <c r="CA42" i="48"/>
  <c r="BO42" i="48"/>
  <c r="BC42" i="48"/>
  <c r="AQ42" i="48"/>
  <c r="AE42" i="48"/>
  <c r="S42" i="48"/>
  <c r="CX42" i="48"/>
  <c r="CL42" i="48"/>
  <c r="BZ42" i="48"/>
  <c r="BN42" i="48"/>
  <c r="BB42" i="48"/>
  <c r="AP42" i="48"/>
  <c r="AD42" i="48"/>
  <c r="R42" i="48"/>
  <c r="CH42" i="48"/>
  <c r="CS42" i="48"/>
  <c r="BU42" i="48"/>
  <c r="BI42" i="48"/>
  <c r="AW42" i="48"/>
  <c r="AK42" i="48"/>
  <c r="Y42" i="48"/>
  <c r="M42" i="48"/>
  <c r="CW42" i="48"/>
  <c r="CK42" i="48"/>
  <c r="BY42" i="48"/>
  <c r="BM42" i="48"/>
  <c r="BA42" i="48"/>
  <c r="AO42" i="48"/>
  <c r="AC42" i="48"/>
  <c r="Q42" i="48"/>
  <c r="CV42" i="48"/>
  <c r="CJ42" i="48"/>
  <c r="BX42" i="48"/>
  <c r="BL42" i="48"/>
  <c r="AZ42" i="48"/>
  <c r="AN42" i="48"/>
  <c r="AB42" i="48"/>
  <c r="P42" i="48"/>
  <c r="CU42" i="48"/>
  <c r="CI42" i="48"/>
  <c r="BW42" i="48"/>
  <c r="BK42" i="48"/>
  <c r="AY42" i="48"/>
  <c r="AM42" i="48"/>
  <c r="AA42" i="48"/>
  <c r="O42" i="48"/>
  <c r="CT42" i="48"/>
  <c r="BV42" i="48"/>
  <c r="BJ42" i="48"/>
  <c r="AX42" i="48"/>
  <c r="AL42" i="48"/>
  <c r="Z42" i="48"/>
  <c r="N42" i="48"/>
  <c r="CG42" i="48"/>
  <c r="CR42" i="48"/>
  <c r="AV42" i="48"/>
  <c r="CQ42" i="48"/>
  <c r="AU42" i="48"/>
  <c r="CP42" i="48"/>
  <c r="AT42" i="48"/>
  <c r="CF42" i="48"/>
  <c r="AJ42" i="48"/>
  <c r="CE42" i="48"/>
  <c r="AI42" i="48"/>
  <c r="CD42" i="48"/>
  <c r="AH42" i="48"/>
  <c r="BT42" i="48"/>
  <c r="X42" i="48"/>
  <c r="BS42" i="48"/>
  <c r="W42" i="48"/>
  <c r="BR42" i="48"/>
  <c r="V42" i="48"/>
  <c r="BH42" i="48"/>
  <c r="L42" i="48"/>
  <c r="BG42" i="48"/>
  <c r="K42" i="48"/>
  <c r="BF42" i="48"/>
  <c r="J42" i="48"/>
  <c r="DA40" i="48"/>
  <c r="BD40" i="48"/>
  <c r="CX40" i="48"/>
  <c r="BA40" i="48"/>
  <c r="CT40" i="48"/>
  <c r="AX40" i="48"/>
  <c r="CI40" i="48"/>
  <c r="CF40" i="48"/>
  <c r="CC40" i="48"/>
  <c r="T40" i="48"/>
  <c r="CQ40" i="48"/>
  <c r="CY40" i="48"/>
  <c r="M40" i="48"/>
  <c r="CE40" i="48"/>
  <c r="CM40" i="48"/>
  <c r="AP40" i="48"/>
  <c r="CS40" i="48"/>
  <c r="BK40" i="48"/>
  <c r="CA40" i="48"/>
  <c r="AA40" i="48"/>
  <c r="BO40" i="48"/>
  <c r="CU40" i="48"/>
  <c r="X40" i="48"/>
  <c r="CZ40" i="48"/>
  <c r="CW40" i="48"/>
  <c r="CP40" i="48"/>
  <c r="CD40" i="48"/>
  <c r="AQ40" i="48"/>
  <c r="CK40" i="48"/>
  <c r="L40" i="48"/>
  <c r="BG40" i="48"/>
  <c r="AE40" i="48"/>
  <c r="S40" i="48"/>
  <c r="BM40" i="48"/>
  <c r="N40" i="48"/>
  <c r="Z40" i="48"/>
  <c r="CO40" i="48"/>
  <c r="AR40" i="48"/>
  <c r="CL40" i="48"/>
  <c r="AO40" i="48"/>
  <c r="BV40" i="48"/>
  <c r="AB40" i="48"/>
  <c r="BL40" i="48"/>
  <c r="BI40" i="48"/>
  <c r="AF40" i="48"/>
  <c r="BZ40" i="48"/>
  <c r="AC40" i="48"/>
  <c r="AZ40" i="48"/>
  <c r="K40" i="48"/>
  <c r="AU40" i="48"/>
  <c r="AM40" i="48"/>
  <c r="BQ40" i="48"/>
  <c r="BN40" i="48"/>
  <c r="Q40" i="48"/>
  <c r="AI40" i="48"/>
  <c r="Y40" i="48"/>
  <c r="V40" i="48"/>
  <c r="BE40" i="48"/>
  <c r="BB40" i="48"/>
  <c r="CV40" i="48"/>
  <c r="BS40" i="48"/>
  <c r="CH40" i="48"/>
  <c r="AS40" i="48"/>
  <c r="CJ40" i="48"/>
  <c r="AW40" i="48"/>
  <c r="BH40" i="48"/>
  <c r="AG40" i="48"/>
  <c r="AD40" i="48"/>
  <c r="BX40" i="48"/>
  <c r="BU40" i="48"/>
  <c r="AT40" i="48"/>
  <c r="AL40" i="48"/>
  <c r="U40" i="48"/>
  <c r="R40" i="48"/>
  <c r="AY40" i="48"/>
  <c r="J40" i="48"/>
  <c r="P40" i="48"/>
  <c r="BC40" i="48"/>
  <c r="BW40" i="48"/>
  <c r="AH40" i="48"/>
  <c r="CG40" i="48"/>
  <c r="CN40" i="48"/>
  <c r="BF40" i="48"/>
  <c r="BR40" i="48"/>
  <c r="BJ40" i="48"/>
  <c r="CB40" i="48"/>
  <c r="BY40" i="48"/>
  <c r="AJ40" i="48"/>
  <c r="CR40" i="48"/>
  <c r="AV40" i="48"/>
  <c r="AN40" i="48"/>
  <c r="AK40" i="48"/>
  <c r="BP40" i="48"/>
  <c r="BT40" i="48"/>
  <c r="W40" i="48"/>
  <c r="O40" i="48"/>
  <c r="K3" i="50"/>
  <c r="J3" i="48" s="1"/>
  <c r="U3" i="48" s="1"/>
  <c r="I3" i="50"/>
  <c r="J4" i="48" s="1"/>
  <c r="U4" i="48" s="1"/>
  <c r="I5" i="50"/>
  <c r="I4" i="50"/>
  <c r="AW43" i="48" l="1"/>
  <c r="Q43" i="48"/>
  <c r="CM43" i="48"/>
  <c r="CN43" i="48"/>
  <c r="BT43" i="48"/>
  <c r="AC43" i="48"/>
  <c r="R43" i="48"/>
  <c r="CQ43" i="48"/>
  <c r="J43" i="48"/>
  <c r="BI43" i="48"/>
  <c r="AE43" i="48"/>
  <c r="DA43" i="48"/>
  <c r="AY43" i="48"/>
  <c r="CU43" i="48"/>
  <c r="BC43" i="48"/>
  <c r="BP43" i="48"/>
  <c r="V43" i="48"/>
  <c r="BU43" i="48"/>
  <c r="AS43" i="48"/>
  <c r="U43" i="48"/>
  <c r="W43" i="48"/>
  <c r="L43" i="48"/>
  <c r="CC43" i="48"/>
  <c r="AB43" i="48"/>
  <c r="AH43" i="48"/>
  <c r="CG43" i="48"/>
  <c r="BH43" i="48"/>
  <c r="AJ43" i="48"/>
  <c r="AQ43" i="48"/>
  <c r="BJ43" i="48"/>
  <c r="CZ43" i="48"/>
  <c r="BB43" i="48"/>
  <c r="AT43" i="48"/>
  <c r="CS43" i="48"/>
  <c r="BW43" i="48"/>
  <c r="BM43" i="48"/>
  <c r="BQ43" i="48"/>
  <c r="AN43" i="48"/>
  <c r="AF43" i="48"/>
  <c r="CB43" i="48"/>
  <c r="BF43" i="48"/>
  <c r="P43" i="48"/>
  <c r="CK43" i="48"/>
  <c r="CA43" i="48"/>
  <c r="CR43" i="48"/>
  <c r="O43" i="48"/>
  <c r="BD43" i="48"/>
  <c r="CW43" i="48"/>
  <c r="BR43" i="48"/>
  <c r="AD43" i="48"/>
  <c r="CY43" i="48"/>
  <c r="CO43" i="48"/>
  <c r="X43" i="48"/>
  <c r="BO43" i="48"/>
  <c r="CE43" i="48"/>
  <c r="K43" i="48"/>
  <c r="CD43" i="48"/>
  <c r="AR43" i="48"/>
  <c r="S43" i="48"/>
  <c r="T43" i="48"/>
  <c r="AU43" i="48"/>
  <c r="AP43" i="48"/>
  <c r="BE43" i="48"/>
  <c r="AL43" i="48"/>
  <c r="CP43" i="48"/>
  <c r="BG43" i="48"/>
  <c r="AG43" i="48"/>
  <c r="AI43" i="48"/>
  <c r="BS43" i="48"/>
  <c r="AA43" i="48"/>
  <c r="AM43" i="48"/>
  <c r="CF43" i="48"/>
  <c r="M43" i="48"/>
  <c r="BV43" i="48"/>
  <c r="AV43" i="48"/>
  <c r="AX43" i="48"/>
  <c r="CT43" i="48"/>
  <c r="BA43" i="48"/>
  <c r="CH43" i="48"/>
  <c r="N43" i="48"/>
  <c r="Y43" i="48"/>
  <c r="CJ43" i="48"/>
  <c r="BK43" i="48"/>
  <c r="BL43" i="48"/>
  <c r="CI43" i="48"/>
  <c r="AK43" i="48"/>
  <c r="CX43" i="48"/>
  <c r="BY43" i="48"/>
  <c r="BZ43" i="48"/>
  <c r="Z43" i="48"/>
  <c r="AZ43" i="48"/>
  <c r="BX43" i="48"/>
  <c r="CV43" i="48"/>
  <c r="AO43" i="48"/>
  <c r="CL43" i="48"/>
  <c r="BN43" i="48"/>
  <c r="K5" i="50"/>
  <c r="K6" i="50"/>
  <c r="K4" i="50"/>
  <c r="J5" i="48" s="1"/>
  <c r="U5" i="48" s="1"/>
  <c r="I6" i="50"/>
  <c r="AW44" i="48" l="1"/>
  <c r="AJ44" i="48"/>
  <c r="AA44" i="48"/>
  <c r="CT44" i="48"/>
  <c r="CX44" i="48"/>
  <c r="CH44" i="48"/>
  <c r="BE44" i="48"/>
  <c r="AS44" i="48"/>
  <c r="X44" i="48"/>
  <c r="CI44" i="48"/>
  <c r="BR44" i="48"/>
  <c r="AV44" i="48"/>
  <c r="CD44" i="48"/>
  <c r="BD44" i="48"/>
  <c r="BL44" i="48"/>
  <c r="BY44" i="48"/>
  <c r="BZ44" i="48"/>
  <c r="CY44" i="48"/>
  <c r="Y44" i="48"/>
  <c r="BP44" i="48"/>
  <c r="CM44" i="48"/>
  <c r="L44" i="48"/>
  <c r="CQ44" i="48"/>
  <c r="J44" i="48"/>
  <c r="BI44" i="48"/>
  <c r="AY44" i="48"/>
  <c r="AO44" i="48"/>
  <c r="W44" i="48"/>
  <c r="P44" i="48"/>
  <c r="DA44" i="48"/>
  <c r="CB44" i="48"/>
  <c r="V44" i="48"/>
  <c r="BU44" i="48"/>
  <c r="BM44" i="48"/>
  <c r="BC44" i="48"/>
  <c r="AU44" i="48"/>
  <c r="BK44" i="48"/>
  <c r="N44" i="48"/>
  <c r="CZ44" i="48"/>
  <c r="AH44" i="48"/>
  <c r="CG44" i="48"/>
  <c r="CA44" i="48"/>
  <c r="BQ44" i="48"/>
  <c r="BV44" i="48"/>
  <c r="R44" i="48"/>
  <c r="AG44" i="48"/>
  <c r="O44" i="48"/>
  <c r="AT44" i="48"/>
  <c r="CS44" i="48"/>
  <c r="CO44" i="48"/>
  <c r="CF44" i="48"/>
  <c r="CV44" i="48"/>
  <c r="BS44" i="48"/>
  <c r="BH44" i="48"/>
  <c r="AL44" i="48"/>
  <c r="BF44" i="48"/>
  <c r="T44" i="48"/>
  <c r="CU44" i="48"/>
  <c r="AB44" i="48"/>
  <c r="S44" i="48"/>
  <c r="BJ44" i="48"/>
  <c r="AI44" i="48"/>
  <c r="AM44" i="48"/>
  <c r="K44" i="48"/>
  <c r="AD44" i="48"/>
  <c r="AP44" i="48"/>
  <c r="CJ44" i="48"/>
  <c r="AX44" i="48"/>
  <c r="BA44" i="48"/>
  <c r="Z44" i="48"/>
  <c r="BW44" i="48"/>
  <c r="CK44" i="48"/>
  <c r="Q44" i="48"/>
  <c r="CP44" i="48"/>
  <c r="BO44" i="48"/>
  <c r="AN44" i="48"/>
  <c r="CW44" i="48"/>
  <c r="BN44" i="48"/>
  <c r="AQ44" i="48"/>
  <c r="M44" i="48"/>
  <c r="CC44" i="48"/>
  <c r="BB44" i="48"/>
  <c r="AC44" i="48"/>
  <c r="AR44" i="48"/>
  <c r="CL44" i="48"/>
  <c r="CN44" i="48"/>
  <c r="CR44" i="48"/>
  <c r="AZ44" i="48"/>
  <c r="AF44" i="48"/>
  <c r="BT44" i="48"/>
  <c r="AK44" i="48"/>
  <c r="U44" i="48"/>
  <c r="CE44" i="48"/>
  <c r="BX44" i="48"/>
  <c r="BG44" i="48"/>
  <c r="AE44" i="48"/>
  <c r="K7" i="50"/>
  <c r="K8" i="50" s="1"/>
  <c r="J6" i="48" s="1"/>
  <c r="U6" i="48" s="1"/>
  <c r="AW45" i="48" l="1"/>
  <c r="L45" i="48"/>
  <c r="CI45" i="48"/>
  <c r="BV45" i="48"/>
  <c r="AF45" i="48"/>
  <c r="AJ45" i="48"/>
  <c r="CC45" i="48"/>
  <c r="CR45" i="48"/>
  <c r="AE45" i="48"/>
  <c r="CH45" i="48"/>
  <c r="Q45" i="48"/>
  <c r="AT45" i="48"/>
  <c r="BH45" i="48"/>
  <c r="AL45" i="48"/>
  <c r="BF45" i="48"/>
  <c r="BW45" i="48"/>
  <c r="CL45" i="48"/>
  <c r="CO45" i="48"/>
  <c r="AN45" i="48"/>
  <c r="U45" i="48"/>
  <c r="BO45" i="48"/>
  <c r="AB45" i="48"/>
  <c r="AD45" i="48"/>
  <c r="AX45" i="48"/>
  <c r="BD45" i="48"/>
  <c r="CT45" i="48"/>
  <c r="CB45" i="48"/>
  <c r="J45" i="48"/>
  <c r="BI45" i="48"/>
  <c r="AA45" i="48"/>
  <c r="CW45" i="48"/>
  <c r="CJ45" i="48"/>
  <c r="BA45" i="48"/>
  <c r="BK45" i="48"/>
  <c r="BL45" i="48"/>
  <c r="H46" i="48"/>
  <c r="V45" i="48"/>
  <c r="BU45" i="48"/>
  <c r="AO45" i="48"/>
  <c r="CX45" i="48"/>
  <c r="CA45" i="48"/>
  <c r="R45" i="48"/>
  <c r="AH45" i="48"/>
  <c r="CG45" i="48"/>
  <c r="BC45" i="48"/>
  <c r="AS45" i="48"/>
  <c r="DA45" i="48"/>
  <c r="N45" i="48"/>
  <c r="BM45" i="48"/>
  <c r="CS45" i="48"/>
  <c r="BQ45" i="48"/>
  <c r="X45" i="48"/>
  <c r="S45" i="48"/>
  <c r="CM45" i="48"/>
  <c r="K45" i="48"/>
  <c r="CF45" i="48"/>
  <c r="AY45" i="48"/>
  <c r="BN45" i="48"/>
  <c r="T45" i="48"/>
  <c r="BR45" i="48"/>
  <c r="Z45" i="48"/>
  <c r="CU45" i="48"/>
  <c r="CK45" i="48"/>
  <c r="BY45" i="48"/>
  <c r="AM45" i="48"/>
  <c r="AU45" i="48"/>
  <c r="CD45" i="48"/>
  <c r="O45" i="48"/>
  <c r="CY45" i="48"/>
  <c r="CV45" i="48"/>
  <c r="AP45" i="48"/>
  <c r="CP45" i="48"/>
  <c r="BB45" i="48"/>
  <c r="AC45" i="48"/>
  <c r="P45" i="48"/>
  <c r="CQ45" i="48"/>
  <c r="CN45" i="48"/>
  <c r="BS45" i="48"/>
  <c r="M45" i="48"/>
  <c r="BP45" i="48"/>
  <c r="AQ45" i="48"/>
  <c r="AZ45" i="48"/>
  <c r="AG45" i="48"/>
  <c r="AV45" i="48"/>
  <c r="Y45" i="48"/>
  <c r="CE45" i="48"/>
  <c r="BE45" i="48"/>
  <c r="AR45" i="48"/>
  <c r="BZ45" i="48"/>
  <c r="AI45" i="48"/>
  <c r="W45" i="48"/>
  <c r="AK45" i="48"/>
  <c r="BT45" i="48"/>
  <c r="BG45" i="48"/>
  <c r="CZ45" i="48"/>
  <c r="BJ45" i="48"/>
  <c r="BX45" i="48"/>
  <c r="AW46" i="48" l="1"/>
  <c r="Q46" i="48"/>
  <c r="CM46" i="48"/>
  <c r="U46" i="48"/>
  <c r="CE46" i="48"/>
  <c r="CI46" i="48"/>
  <c r="O46" i="48"/>
  <c r="AA46" i="48"/>
  <c r="J46" i="48"/>
  <c r="BI46" i="48"/>
  <c r="AE46" i="48"/>
  <c r="DA46" i="48"/>
  <c r="CA46" i="48"/>
  <c r="W46" i="48"/>
  <c r="AO46" i="48"/>
  <c r="BO46" i="48"/>
  <c r="V46" i="48"/>
  <c r="BU46" i="48"/>
  <c r="AS46" i="48"/>
  <c r="AJ46" i="48"/>
  <c r="AB46" i="48"/>
  <c r="BQ46" i="48"/>
  <c r="CQ46" i="48"/>
  <c r="CL46" i="48"/>
  <c r="AH46" i="48"/>
  <c r="CG46" i="48"/>
  <c r="BH46" i="48"/>
  <c r="AY46" i="48"/>
  <c r="BB46" i="48"/>
  <c r="AZ46" i="48"/>
  <c r="AQ46" i="48"/>
  <c r="R46" i="48"/>
  <c r="AT46" i="48"/>
  <c r="CS46" i="48"/>
  <c r="BW46" i="48"/>
  <c r="BM46" i="48"/>
  <c r="CB46" i="48"/>
  <c r="CU46" i="48"/>
  <c r="CR46" i="48"/>
  <c r="AP46" i="48"/>
  <c r="BF46" i="48"/>
  <c r="P46" i="48"/>
  <c r="CK46" i="48"/>
  <c r="CO46" i="48"/>
  <c r="CW46" i="48"/>
  <c r="K46" i="48"/>
  <c r="CT46" i="48"/>
  <c r="BP46" i="48"/>
  <c r="BR46" i="48"/>
  <c r="AD46" i="48"/>
  <c r="CY46" i="48"/>
  <c r="T46" i="48"/>
  <c r="AC46" i="48"/>
  <c r="AL46" i="48"/>
  <c r="Z46" i="48"/>
  <c r="X46" i="48"/>
  <c r="CD46" i="48"/>
  <c r="AR46" i="48"/>
  <c r="S46" i="48"/>
  <c r="AI46" i="48"/>
  <c r="BC46" i="48"/>
  <c r="BE46" i="48"/>
  <c r="BT46" i="48"/>
  <c r="AU46" i="48"/>
  <c r="CP46" i="48"/>
  <c r="BG46" i="48"/>
  <c r="AG46" i="48"/>
  <c r="AX46" i="48"/>
  <c r="CC46" i="48"/>
  <c r="CF46" i="48"/>
  <c r="L46" i="48"/>
  <c r="BS46" i="48"/>
  <c r="M46" i="48"/>
  <c r="BV46" i="48"/>
  <c r="AV46" i="48"/>
  <c r="BL46" i="48"/>
  <c r="CZ46" i="48"/>
  <c r="N46" i="48"/>
  <c r="AM46" i="48"/>
  <c r="BA46" i="48"/>
  <c r="Y46" i="48"/>
  <c r="CJ46" i="48"/>
  <c r="BK46" i="48"/>
  <c r="BZ46" i="48"/>
  <c r="AF46" i="48"/>
  <c r="AN46" i="48"/>
  <c r="BJ46" i="48"/>
  <c r="CV46" i="48"/>
  <c r="AK46" i="48"/>
  <c r="CX46" i="48"/>
  <c r="BY46" i="48"/>
  <c r="CN46" i="48"/>
  <c r="BD46" i="48"/>
  <c r="BN46" i="48"/>
  <c r="CH46" i="48"/>
  <c r="BX46"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Md Tarique Ahmad</author>
  </authors>
  <commentList>
    <comment ref="A3" authorId="0" shapeId="0" xr:uid="{293BE2CA-4050-442F-9052-15EB7460291F}">
      <text>
        <r>
          <rPr>
            <sz val="9"/>
            <color indexed="81"/>
            <rFont val="Tahoma"/>
            <family val="2"/>
          </rPr>
          <t xml:space="preserve">
List of complexity of requirement. ( 1 being the simplest and 5 being the complex development)</t>
        </r>
      </text>
    </comment>
    <comment ref="A10" authorId="0" shapeId="0" xr:uid="{9CC3EC14-CD05-4E4B-9A20-F1218EB48F13}">
      <text>
        <r>
          <rPr>
            <sz val="9"/>
            <color indexed="81"/>
            <rFont val="Tahoma"/>
            <family val="2"/>
          </rPr>
          <t xml:space="preserve">
The minimum no of hours required for simplest (Complexity-1) requirement.</t>
        </r>
      </text>
    </comment>
    <comment ref="C10" authorId="0" shapeId="0" xr:uid="{1A51E1C2-0901-4988-97D2-7E867E2F162D}">
      <text>
        <r>
          <rPr>
            <sz val="9"/>
            <color indexed="81"/>
            <rFont val="Tahoma"/>
            <family val="2"/>
          </rPr>
          <t xml:space="preserve">
The minimum no of hours required for 1 integration point development.</t>
        </r>
      </text>
    </comment>
    <comment ref="E10" authorId="0" shapeId="0" xr:uid="{7C298C69-53B7-4C7D-A1EE-6DC0ECC5DADC}">
      <text>
        <r>
          <rPr>
            <sz val="9"/>
            <color indexed="81"/>
            <rFont val="Tahoma"/>
            <family val="2"/>
          </rPr>
          <t xml:space="preserve">
The minimum no of hours required for 1 requirement point understanding.</t>
        </r>
      </text>
    </comment>
    <comment ref="G10" authorId="0" shapeId="0" xr:uid="{4003DB12-05D8-49B1-A726-5852D9F3CAED}">
      <text>
        <r>
          <rPr>
            <sz val="9"/>
            <color indexed="81"/>
            <rFont val="Tahoma"/>
            <family val="2"/>
          </rPr>
          <t xml:space="preserve">
The total % of efforts required for overall </t>
        </r>
        <r>
          <rPr>
            <b/>
            <sz val="9"/>
            <color indexed="81"/>
            <rFont val="Tahoma"/>
            <family val="2"/>
          </rPr>
          <t>solution designing</t>
        </r>
        <r>
          <rPr>
            <sz val="9"/>
            <color indexed="81"/>
            <rFont val="Tahoma"/>
            <family val="2"/>
          </rPr>
          <t xml:space="preserve"> with respect to the Total </t>
        </r>
        <r>
          <rPr>
            <b/>
            <sz val="9"/>
            <color indexed="81"/>
            <rFont val="Tahoma"/>
            <family val="2"/>
          </rPr>
          <t>Development hours</t>
        </r>
        <r>
          <rPr>
            <sz val="9"/>
            <color indexed="81"/>
            <rFont val="Tahoma"/>
            <family val="2"/>
          </rPr>
          <t>.</t>
        </r>
      </text>
    </comment>
    <comment ref="I10" authorId="0" shapeId="0" xr:uid="{58FC8C4F-0EB2-4016-B25B-F9B838EDD469}">
      <text>
        <r>
          <rPr>
            <sz val="9"/>
            <color indexed="81"/>
            <rFont val="Tahoma"/>
            <family val="2"/>
          </rPr>
          <t xml:space="preserve">
The total % of efforts required for overall </t>
        </r>
        <r>
          <rPr>
            <b/>
            <sz val="9"/>
            <color indexed="81"/>
            <rFont val="Tahoma"/>
            <family val="2"/>
          </rPr>
          <t xml:space="preserve">solution Integration testing </t>
        </r>
        <r>
          <rPr>
            <sz val="9"/>
            <color indexed="81"/>
            <rFont val="Tahoma"/>
            <family val="2"/>
          </rPr>
          <t xml:space="preserve">at remote site with respect to the Total </t>
        </r>
        <r>
          <rPr>
            <b/>
            <sz val="9"/>
            <color indexed="81"/>
            <rFont val="Tahoma"/>
            <family val="2"/>
          </rPr>
          <t>requirement hours.</t>
        </r>
      </text>
    </comment>
    <comment ref="J10" authorId="0" shapeId="0" xr:uid="{1CAA747E-4767-4DC1-A9C1-49F2E26360EE}">
      <text>
        <r>
          <rPr>
            <sz val="9"/>
            <color indexed="81"/>
            <rFont val="Tahoma"/>
            <family val="2"/>
          </rPr>
          <t xml:space="preserve">
The total % of efforts required for overall solution </t>
        </r>
        <r>
          <rPr>
            <b/>
            <sz val="9"/>
            <color indexed="81"/>
            <rFont val="Tahoma"/>
            <family val="2"/>
          </rPr>
          <t>User Acceptance Testing</t>
        </r>
        <r>
          <rPr>
            <sz val="9"/>
            <color indexed="81"/>
            <rFont val="Tahoma"/>
            <family val="2"/>
          </rPr>
          <t xml:space="preserve"> at Plant site ,with respect to the Total </t>
        </r>
        <r>
          <rPr>
            <b/>
            <sz val="9"/>
            <color indexed="81"/>
            <rFont val="Tahoma"/>
            <family val="2"/>
          </rPr>
          <t>requirement hours.</t>
        </r>
      </text>
    </comment>
    <comment ref="K10" authorId="0" shapeId="0" xr:uid="{3F090A78-B8FD-45A7-A7B4-62685613239C}">
      <text>
        <r>
          <rPr>
            <sz val="9"/>
            <color indexed="81"/>
            <rFont val="Tahoma"/>
            <family val="2"/>
          </rPr>
          <t xml:space="preserve">
Total % of efforts required for </t>
        </r>
        <r>
          <rPr>
            <b/>
            <sz val="9"/>
            <color indexed="81"/>
            <rFont val="Tahoma"/>
            <family val="2"/>
          </rPr>
          <t>Commissioning</t>
        </r>
        <r>
          <rPr>
            <sz val="9"/>
            <color indexed="81"/>
            <rFont val="Tahoma"/>
            <family val="2"/>
          </rPr>
          <t xml:space="preserve"> of the solution at plant site with respect to the </t>
        </r>
        <r>
          <rPr>
            <b/>
            <sz val="9"/>
            <color indexed="81"/>
            <rFont val="Tahoma"/>
            <family val="2"/>
          </rPr>
          <t>total Requirement Hours.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<sst xmlns="http://schemas.openxmlformats.org/spreadsheetml/2006/main" count="722" uniqueCount="351">
  <si>
    <t>Total Cost</t>
  </si>
  <si>
    <t>Total</t>
  </si>
  <si>
    <t>Hyper Care</t>
  </si>
  <si>
    <t>Kick Off</t>
  </si>
  <si>
    <t>Safety Equipments</t>
  </si>
  <si>
    <t>Travel</t>
  </si>
  <si>
    <t>Reason</t>
  </si>
  <si>
    <t>Solution Designing</t>
  </si>
  <si>
    <t>SIT</t>
  </si>
  <si>
    <t>Others</t>
  </si>
  <si>
    <t>Customer Name</t>
  </si>
  <si>
    <t>Manufacturing Industry  Location</t>
  </si>
  <si>
    <t>Manufacturing Industry Company Name</t>
  </si>
  <si>
    <t>Project Name</t>
  </si>
  <si>
    <t>SCIL Reference No</t>
  </si>
  <si>
    <t xml:space="preserve">Name </t>
  </si>
  <si>
    <t>Date</t>
  </si>
  <si>
    <t>Revision Summary</t>
  </si>
  <si>
    <t>Automation Engineer</t>
  </si>
  <si>
    <t>Commissioning Engineer</t>
  </si>
  <si>
    <t>Dev Efforts</t>
  </si>
  <si>
    <t>Total Efforts</t>
  </si>
  <si>
    <t>Group</t>
  </si>
  <si>
    <t>Activity</t>
  </si>
  <si>
    <t>On Site Support</t>
  </si>
  <si>
    <t>Other Travels</t>
  </si>
  <si>
    <t>Training</t>
  </si>
  <si>
    <t>AMC</t>
  </si>
  <si>
    <t>Night Shift Allowance</t>
  </si>
  <si>
    <t>Evening Shift Allowance</t>
  </si>
  <si>
    <t>On Call</t>
  </si>
  <si>
    <t>L1 Lodging</t>
  </si>
  <si>
    <t>Mobile Allowance</t>
  </si>
  <si>
    <t>Mobile Accessories</t>
  </si>
  <si>
    <t>Team Outing &amp; Boosters</t>
  </si>
  <si>
    <t>Req ID</t>
  </si>
  <si>
    <t>Module</t>
  </si>
  <si>
    <t>Req Category</t>
  </si>
  <si>
    <t>Req Summary</t>
  </si>
  <si>
    <t>Req Description</t>
  </si>
  <si>
    <t>Other 
Integration</t>
  </si>
  <si>
    <t>SAP
Integration</t>
  </si>
  <si>
    <t>OEM 
Integration</t>
  </si>
  <si>
    <t>Complexity</t>
  </si>
  <si>
    <t>Complexity Meaning</t>
  </si>
  <si>
    <t>Base Integration Dev Efforts (Hrs)</t>
  </si>
  <si>
    <t>Req Gathering 
Efforts (Hrs)</t>
  </si>
  <si>
    <t>Solutioning 
Efforts ( % of Dev)</t>
  </si>
  <si>
    <t>This sheet defines the basis for effort estimations. Please check the notes on each column for more details</t>
  </si>
  <si>
    <t>Packing Type</t>
  </si>
  <si>
    <t>Sea Worthy</t>
  </si>
  <si>
    <t>Air Worthy</t>
  </si>
  <si>
    <t>Sea and Air Worthy</t>
  </si>
  <si>
    <t>Corrugated</t>
  </si>
  <si>
    <t>Mode Of Transport</t>
  </si>
  <si>
    <t>Road</t>
  </si>
  <si>
    <t>Water</t>
  </si>
  <si>
    <t>Air</t>
  </si>
  <si>
    <t>Water &amp; Road</t>
  </si>
  <si>
    <t>Air &amp; Road</t>
  </si>
  <si>
    <t>Water &amp; Air &amp; Road</t>
  </si>
  <si>
    <t>Transit Insurance</t>
  </si>
  <si>
    <t>Yes</t>
  </si>
  <si>
    <t>No</t>
  </si>
  <si>
    <t>Dispatch Details</t>
  </si>
  <si>
    <t>NA</t>
  </si>
  <si>
    <t>NOTE : Please enter the resuorce deployment plan as per the efforts required in "Service- Effort Estimation" .Resource deployment plan is for internal use. Please create the project schedule to be shared with Customer.</t>
  </si>
  <si>
    <t>Effort Estimation Base</t>
  </si>
  <si>
    <t xml:space="preserve">Days in Each trip 
including travel </t>
  </si>
  <si>
    <t>Supply</t>
  </si>
  <si>
    <t>Material Readiness</t>
  </si>
  <si>
    <t>BoM Procurement</t>
  </si>
  <si>
    <t>Commissioning</t>
  </si>
  <si>
    <t>Comm Efforts 
( % of Dev)</t>
  </si>
  <si>
    <t>Area</t>
  </si>
  <si>
    <t>Role</t>
  </si>
  <si>
    <t>Development</t>
  </si>
  <si>
    <t>EPLAN Engineer</t>
  </si>
  <si>
    <t>Designing</t>
  </si>
  <si>
    <t>Database Administrator</t>
  </si>
  <si>
    <t>Testing</t>
  </si>
  <si>
    <t>Management</t>
  </si>
  <si>
    <t>Delivery Manager</t>
  </si>
  <si>
    <t>Support Analyst</t>
  </si>
  <si>
    <t>Scheduled Days as per 
resource planned</t>
  </si>
  <si>
    <t>Estimated Days as per 
Service Effort Estimated</t>
  </si>
  <si>
    <t>Delta in efforts schedule against estimated</t>
  </si>
  <si>
    <t>Development Lead</t>
  </si>
  <si>
    <t>Software Engineer</t>
  </si>
  <si>
    <t>Type</t>
  </si>
  <si>
    <t>Base Development
Efforts (Hrs)</t>
  </si>
  <si>
    <t xml:space="preserve">Simple </t>
  </si>
  <si>
    <t>Simple- Medium</t>
  </si>
  <si>
    <t xml:space="preserve">Medium </t>
  </si>
  <si>
    <t xml:space="preserve">Medium-Complex </t>
  </si>
  <si>
    <t>Complex</t>
  </si>
  <si>
    <t>Small  business logic. :  No UI, Integration</t>
  </si>
  <si>
    <t>medium business logic. : 1-2 small UI,  No Integration</t>
  </si>
  <si>
    <t>Medium business logic. :  1-2 medium UI,  1 Integration</t>
  </si>
  <si>
    <t>Complex business logic. : 1-2 medium UI,  1-2 Integration</t>
  </si>
  <si>
    <t>Complex business logic. : Complex UI, multiple Integration</t>
  </si>
  <si>
    <t>SIT Efforts 
( % of Dev)</t>
  </si>
  <si>
    <t>SAT/UAT Efforts 
( % of Dev)</t>
  </si>
  <si>
    <t>Final Efforts Summary ( Man Hours )</t>
  </si>
  <si>
    <t>IT Development</t>
  </si>
  <si>
    <t>OT Development</t>
  </si>
  <si>
    <t>Total Development</t>
  </si>
  <si>
    <t>SAT/UAT</t>
  </si>
  <si>
    <t>Final Efforts  ( Man Hours )</t>
  </si>
  <si>
    <t>Final Efforts  ( Man Days )</t>
  </si>
  <si>
    <t>Req Understanding</t>
  </si>
  <si>
    <t>Hotel+ Per Diem</t>
  </si>
  <si>
    <t>Local + In transit</t>
  </si>
  <si>
    <t>No of 
Trips</t>
  </si>
  <si>
    <t>No Of
 resource</t>
  </si>
  <si>
    <t>Conveyance</t>
  </si>
  <si>
    <t>In INR</t>
  </si>
  <si>
    <t>In EUR</t>
  </si>
  <si>
    <t>Hotel Per Day</t>
  </si>
  <si>
    <t>Requirement Discussion</t>
  </si>
  <si>
    <t xml:space="preserve">Per Diem </t>
  </si>
  <si>
    <t>Local Travel Per Day</t>
  </si>
  <si>
    <t>Demonstrations</t>
  </si>
  <si>
    <t>Itinerary to and fro</t>
  </si>
  <si>
    <t>Go Live / Commissioning</t>
  </si>
  <si>
    <t>Visa Fee</t>
  </si>
  <si>
    <t>No Of 
Times</t>
  </si>
  <si>
    <t>No Of 
resource</t>
  </si>
  <si>
    <t>Team Engagement</t>
  </si>
  <si>
    <t>Hardship Allowance</t>
  </si>
  <si>
    <t>Accessories</t>
  </si>
  <si>
    <t>Miscellaneous</t>
  </si>
  <si>
    <t>S.No</t>
  </si>
  <si>
    <t>Phase</t>
  </si>
  <si>
    <t>R</t>
  </si>
  <si>
    <t>A</t>
  </si>
  <si>
    <t>C</t>
  </si>
  <si>
    <t>I</t>
  </si>
  <si>
    <t>Requirement</t>
  </si>
  <si>
    <t>CUST</t>
  </si>
  <si>
    <t>SCIL</t>
  </si>
  <si>
    <t>Infrastructure</t>
  </si>
  <si>
    <t>Hardware</t>
  </si>
  <si>
    <t>Application</t>
  </si>
  <si>
    <t>Database requirements &amp; specifications</t>
  </si>
  <si>
    <t>Documentation</t>
  </si>
  <si>
    <t>Data requirements and availibility of all application and interfaces</t>
  </si>
  <si>
    <t>Data</t>
  </si>
  <si>
    <t>User Acceptance Criteria creation</t>
  </si>
  <si>
    <t>User Acceptance Criteria Testing</t>
  </si>
  <si>
    <t>UAT test plan</t>
  </si>
  <si>
    <t>Backup Software if any</t>
  </si>
  <si>
    <t>HyperCare</t>
  </si>
  <si>
    <t>VM/Server Monitoring - Manually monitor the availability and performance of the Virtual Machines using OEM provided management tools at periodic intervals.</t>
  </si>
  <si>
    <t>DB Monitoring - Manually monitor the availability of the databases using OEM provided management tools at periodic intervals</t>
  </si>
  <si>
    <t>VM, Server, OS, Antivirus, other software maintenance</t>
  </si>
  <si>
    <t>Sales Responsible</t>
  </si>
  <si>
    <t>Engineering Responsible</t>
  </si>
  <si>
    <t>Engineering Done By</t>
  </si>
  <si>
    <t>Engineering Approved By</t>
  </si>
  <si>
    <t>Engineering Details</t>
  </si>
  <si>
    <t xml:space="preserve"> Travel - Rate Card</t>
  </si>
  <si>
    <t>Location</t>
  </si>
  <si>
    <t>Lodging 
&amp; Boarding</t>
  </si>
  <si>
    <t>Item</t>
  </si>
  <si>
    <t>Domestic</t>
  </si>
  <si>
    <t>SIT ( System Integrated Testing )</t>
  </si>
  <si>
    <t>International</t>
  </si>
  <si>
    <t>UAT ( User Acceptance Testing )</t>
  </si>
  <si>
    <t xml:space="preserve"> Other - Rate Card</t>
  </si>
  <si>
    <t>Final Summary</t>
  </si>
  <si>
    <t>Lodging &amp; Boarding</t>
  </si>
  <si>
    <t>Misceleneous</t>
  </si>
  <si>
    <t>Year 1</t>
  </si>
  <si>
    <t>Year 2</t>
  </si>
  <si>
    <t>Project Handover</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</si>
  <si>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</si>
  <si>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</si>
  <si>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</si>
  <si>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</si>
  <si>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</si>
  <si>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</si>
  <si>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</si>
  <si>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</si>
  <si>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</si>
  <si>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</si>
  <si>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</si>
  <si>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</si>
  <si>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</si>
  <si>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</si>
  <si>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</si>
  <si>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</si>
  <si>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</si>
  <si>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</si>
  <si>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</si>
  <si>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</si>
  <si>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</si>
  <si>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</si>
  <si>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</si>
  <si>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</si>
  <si>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Service</t>
  </si>
  <si>
    <t>EPLAN Senior Engineer</t>
  </si>
  <si>
    <t>Development Engineer</t>
  </si>
  <si>
    <t>Panel Manufacturing Engineer</t>
  </si>
  <si>
    <t>Senior Automation Engineer</t>
  </si>
  <si>
    <t>PANEL</t>
  </si>
  <si>
    <t>Senior Software Engineer</t>
  </si>
  <si>
    <t>Associate Software Engineer</t>
  </si>
  <si>
    <t>Software Testing Engineer</t>
  </si>
  <si>
    <t>Testing Team Lead</t>
  </si>
  <si>
    <t>Solution Technical Architect</t>
  </si>
  <si>
    <t>SD</t>
  </si>
  <si>
    <t>DM</t>
  </si>
  <si>
    <t>AS</t>
  </si>
  <si>
    <t>Scope</t>
  </si>
  <si>
    <t>Material Delivery</t>
  </si>
  <si>
    <t xml:space="preserve">Requirement Workshop      </t>
  </si>
  <si>
    <t xml:space="preserve">Solution Designing       </t>
  </si>
  <si>
    <t xml:space="preserve">Interface Designing       </t>
  </si>
  <si>
    <t xml:space="preserve">Solution Development     </t>
  </si>
  <si>
    <t xml:space="preserve">System Integration Testing   </t>
  </si>
  <si>
    <t>Revision Date:</t>
  </si>
  <si>
    <t>NOTE : Please use the template for effort calcualtion as per the complexity of each requirement, to achieve better accuracy break the requirements in possible short delivery. Please align the "Effort estimation base" as per the project.</t>
  </si>
  <si>
    <t>Requirement Details : Break into logical modules for better accuracy.</t>
  </si>
  <si>
    <t>Management  Efforts</t>
  </si>
  <si>
    <t>OT Development Efforts</t>
  </si>
  <si>
    <t>IT Development Efforts</t>
  </si>
  <si>
    <t xml:space="preserve"> [DEMO]</t>
  </si>
  <si>
    <t>PM</t>
  </si>
  <si>
    <t>CE</t>
  </si>
  <si>
    <t>AE</t>
  </si>
  <si>
    <t>Automation Lead</t>
  </si>
  <si>
    <t>AL</t>
  </si>
  <si>
    <t>SAE</t>
  </si>
  <si>
    <t>EE</t>
  </si>
  <si>
    <t>PME</t>
  </si>
  <si>
    <t>ESE</t>
  </si>
  <si>
    <t>STA</t>
  </si>
  <si>
    <t>DL</t>
  </si>
  <si>
    <t>SSE</t>
  </si>
  <si>
    <t>SE</t>
  </si>
  <si>
    <t>ASE</t>
  </si>
  <si>
    <t>QL</t>
  </si>
  <si>
    <t>QA Team Lead</t>
  </si>
  <si>
    <t>STE</t>
  </si>
  <si>
    <t>SA</t>
  </si>
  <si>
    <t>DBA</t>
  </si>
  <si>
    <t>Duration (weeks)</t>
  </si>
  <si>
    <t>PROJECT TIMELINE</t>
  </si>
  <si>
    <t>Workshop</t>
  </si>
  <si>
    <t>Requirement gathering workshops arrangement with all Stakeholders.</t>
  </si>
  <si>
    <t>Business Requirement Document creation.</t>
  </si>
  <si>
    <t>Requirement Checkpoint.</t>
  </si>
  <si>
    <t>Business Requirement Document Sign Off</t>
  </si>
  <si>
    <t>Conference room pilot with process owners/ business heads on need basis.</t>
  </si>
  <si>
    <t>Server sizing &amp; specification recommendation.</t>
  </si>
  <si>
    <t>AIDC ( Scarnner,printer,PDA etc ) specification recommendation .</t>
  </si>
  <si>
    <t>Overall Solution architecture document creation.</t>
  </si>
  <si>
    <t>Infrastructure architecture document creation.</t>
  </si>
  <si>
    <t>Functional design documentation.</t>
  </si>
  <si>
    <t>Interface Control design documentation</t>
  </si>
  <si>
    <t>Cordination with all OEM's for disucssion and follow ICD.</t>
  </si>
  <si>
    <t>Integration Checkpoint.</t>
  </si>
  <si>
    <t>Interface Control design Sign Off.</t>
  </si>
  <si>
    <t>Solution Checkpoint.</t>
  </si>
  <si>
    <t>Functional design Sign Off.</t>
  </si>
  <si>
    <t>Acceptance Checkpoint.</t>
  </si>
  <si>
    <t>User Acceptance Criteria Sign Off.</t>
  </si>
  <si>
    <t>Traceability matrix against Requirement IDs</t>
  </si>
  <si>
    <t>Master and transactional data template.</t>
  </si>
  <si>
    <t>Master and transactional data availability in template.</t>
  </si>
  <si>
    <t>Master Data upload.</t>
  </si>
  <si>
    <t>Readiness of all OEM's interfaces for Integration testing.</t>
  </si>
  <si>
    <t>Demo</t>
  </si>
  <si>
    <t>Demo of possible feature.</t>
  </si>
  <si>
    <t>Demo feedback and acceptance.</t>
  </si>
  <si>
    <t>UAT Sign off</t>
  </si>
  <si>
    <t>MES Products installation.</t>
  </si>
  <si>
    <t>VM, Database and other 3rd party application installation.</t>
  </si>
  <si>
    <t>Server mounting,Storage configuration, OS, Antivirus, Network Readiness in Datacentre.</t>
  </si>
  <si>
    <t xml:space="preserve">SOP and user manual </t>
  </si>
  <si>
    <t>Infrastructure, Database, Backup monitoring tools installation.</t>
  </si>
  <si>
    <t>Backup Monitoring - Monitor the failed backup jobs Backup software console at periodic intervals</t>
  </si>
  <si>
    <t>Application Monitoring : Monitor the availability of applications</t>
  </si>
  <si>
    <t>Performance Maintenance - configuration changes, clean-up environment, identify inefficient SQL queries, Perform scheduled database start-up/shutdown, Database recovery</t>
  </si>
  <si>
    <t>DB Structural Maintenance - Table space, disk space, and temporary space management, Database object structural management, Maintain physical database layout</t>
  </si>
  <si>
    <t>Network Monitoring System installation</t>
  </si>
  <si>
    <t>ECST</t>
  </si>
  <si>
    <t>Details</t>
  </si>
  <si>
    <t>DEV</t>
  </si>
  <si>
    <t>UAT</t>
  </si>
  <si>
    <t>PROD</t>
  </si>
  <si>
    <t>Remarks</t>
  </si>
  <si>
    <t>Required IT Infrastructure.</t>
  </si>
  <si>
    <t>IT Server and accessories.</t>
  </si>
  <si>
    <t>Specification and estimation recommendation by SCIL post FDS Sign off.</t>
  </si>
  <si>
    <t>Data Center setup, VM Creation etc</t>
  </si>
  <si>
    <t>Required OT Infrastructure 
and Network .</t>
  </si>
  <si>
    <t>Network components</t>
  </si>
  <si>
    <t>Installation and commissioning.</t>
  </si>
  <si>
    <t>Required AIDC devices.</t>
  </si>
  <si>
    <t>Printer, Scanner, HMI etc.</t>
  </si>
  <si>
    <t>Infrastructure Software License</t>
  </si>
  <si>
    <t>Database, OS, Antivirus, Monitoring tool etc</t>
  </si>
  <si>
    <t>Installation of Database, OS, Antivirus etc</t>
  </si>
  <si>
    <t>Required IT Application.</t>
  </si>
  <si>
    <t>All Siemens Softwares.
 (EXPR,OPIN, RDNL etc)</t>
  </si>
  <si>
    <t>All Siemens Softwares installation.</t>
  </si>
  <si>
    <t>All Non Siemens Softwares.
 (Power BI, Tableau, etc)</t>
  </si>
  <si>
    <t>All Non Siemens Softwares installation.</t>
  </si>
  <si>
    <t>Required OT Application.</t>
  </si>
  <si>
    <t>All Siemens Automations.
 (WinCC, PLC, etc)</t>
  </si>
  <si>
    <t>All Siemens Automations installation.</t>
  </si>
  <si>
    <t>All Non Siemens Automations.
 (OSI PI , Kepware etc)</t>
  </si>
  <si>
    <t>All Non Siemens Automations installation.</t>
  </si>
  <si>
    <t>Other dependant Applications.</t>
  </si>
  <si>
    <t>IT Applications to be interfaced.
(ERP, PLM, ASRS, WMS etc )</t>
  </si>
  <si>
    <t>Interface development and readiness.</t>
  </si>
  <si>
    <t>OT Applications to be interfaced.
(PLC, HMI, AGV etc )</t>
  </si>
  <si>
    <t>Requirement Group</t>
  </si>
  <si>
    <t>Requirement Details</t>
  </si>
  <si>
    <t>MUST BE INCLUDED IN TECHNICAL OFFER- SCOPE OF SERVICE SECTION</t>
  </si>
  <si>
    <t>Assumption</t>
  </si>
  <si>
    <t>Out of Scope</t>
  </si>
  <si>
    <t>MUST BE INCLUDED IN TECHNICAL OFFER</t>
  </si>
  <si>
    <t>Customer Support</t>
  </si>
  <si>
    <t xml:space="preserve"> PROJECT TIMELINE MUST BE INCLUDED IN TECHNICAL OFFER.</t>
  </si>
  <si>
    <t>RESPONSIBILITY</t>
  </si>
  <si>
    <t>Assumptions taken in Project : Project Assumption Section</t>
  </si>
  <si>
    <t>Supports/ Scopes to be taken care by Customer : Customer Support Section</t>
  </si>
  <si>
    <t>Overall Scopes not to be deliverd by SCIL : Out Of Scope Section</t>
  </si>
  <si>
    <t>MUST BE MODIFIED AS PER PROJECT AND INCLUDED IN TECHNICAL OFFER : Overall RACI Section</t>
  </si>
  <si>
    <t>MUST BE MODIFIED AS PER PROJECT AND INCLUDED IN TECHNICAL OFFER : Project RACI Section</t>
  </si>
  <si>
    <t>Strictly Internal to Smart Controls Authorized personnel only.</t>
  </si>
  <si>
    <t xml:space="preserve">R1 : User Acceptance Testing     </t>
  </si>
  <si>
    <t xml:space="preserve">R1 : Go Live </t>
  </si>
  <si>
    <t xml:space="preserve">R2 : Go Live </t>
  </si>
  <si>
    <t xml:space="preserve">R2 : User Acceptance Testing     </t>
  </si>
  <si>
    <t xml:space="preserve">R3 : User Acceptance Testing     </t>
  </si>
  <si>
    <t xml:space="preserve">R3 : Go Live </t>
  </si>
  <si>
    <t>Days</t>
  </si>
  <si>
    <t>Hours</t>
  </si>
  <si>
    <t>Weeks</t>
  </si>
  <si>
    <t>BRD</t>
  </si>
  <si>
    <t>FDS</t>
  </si>
  <si>
    <t xml:space="preserve"> SIT</t>
  </si>
  <si>
    <t>ICD</t>
  </si>
  <si>
    <r>
      <t xml:space="preserve">Engineering Template </t>
    </r>
    <r>
      <rPr>
        <b/>
        <sz val="11"/>
        <color theme="1"/>
        <rFont val="Arial"/>
        <family val="2"/>
      </rPr>
      <t>R6</t>
    </r>
    <r>
      <rPr>
        <sz val="11"/>
        <color theme="1"/>
        <rFont val="Arial"/>
        <family val="2"/>
      </rPr>
      <t xml:space="preserve"> : Released Date : 12/04/2025</t>
    </r>
  </si>
  <si>
    <t>Delivery</t>
  </si>
  <si>
    <t>Week
Start</t>
  </si>
  <si>
    <t xml:space="preserve">RESOURCE LOAD PLAN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</si>
</sst>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 &quot;₹&quot;\ * #,##0.00_ ;_ &quot;₹&quot;\ * \-#,##0.00_ ;_ &quot;₹&quot;\ * &quot;-&quot;??_ ;_ @_ "/>
    <numFmt numFmtId="164" formatCode="&quot;₹&quot;\ #,##0"/>
    <numFmt numFmtId="165" formatCode="0.0"/>
    <numFmt numFmtId="166" formatCode="_ &quot;₹&quot;\ * #,##0_ ;_ &quot;₹&quot;\ * \-#,##0_ ;_ &quot;₹&quot;\ * &quot;-&quot;??_ ;_ @_ "/>
    <numFmt numFmtId="167" formatCode="_ [$€-2]\ * #,##0.00_ ;_ [$€-2]\ * \-#,##0.00_ ;_ [$€-2]\ * &quot;-&quot;??_ ;_ @_ "/>
    <numFmt numFmtId="168" formatCode="_-* #,##0.00\ _D_M_-;\-* #,##0.00\ _D_M_-;_-* &quot;-&quot;??\ _D_M_-;_-@_-"/>
    <numFmt numFmtId="169" formatCode="_ [$₹-4009]\ * #,##0_ ;_ [$₹-4009]\ * \-#,##0_ ;_ [$₹-4009]\ * &quot;-&quot;??_ ;_ @_ "/>
    <numFmt numFmtId="170" formatCode="_ [$₹-4009]\ * #,##0.00_ ;_ [$₹-4009]\ * \-#,##0.00_ ;_ [$₹-4009]\ * &quot;-&quot;??_ ;_ @_ "/>
  </numFmts>
  <fonts count="61"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10"/>
      <color theme="1"/>
      <name val="Arial"/>
      <family val="2"/>
    </font>
    <font>
      <sz val="10"/>
      <name val="Arial"/>
      <family val="2"/>
    </font>
    <font>
      <b/>
      <sz val="11"/>
      <color theme="1"/>
      <name val="Arial"/>
      <family val="2"/>
    </font>
    <font>
      <sz val="11"/>
      <color theme="1"/>
      <name val="Arial"/>
      <family val="2"/>
    </font>
    <font>
      <b/>
      <sz val="10"/>
      <name val="Arial"/>
      <family val="2"/>
    </font>
    <font>
      <sz val="9"/>
      <color indexed="81"/>
      <name val="Tahoma"/>
      <family val="2"/>
    </font>
    <font>
      <b/>
      <sz val="9"/>
      <color indexed="81"/>
      <name val="Tahoma"/>
      <family val="2"/>
    </font>
    <font>
      <sz val="11"/>
      <name val="Calibri"/>
      <family val="2"/>
      <scheme val="minor"/>
    </font>
    <font>
      <sz val="10"/>
      <name val="Calibri"/>
      <family val="2"/>
      <scheme val="minor"/>
    </font>
    <font>
      <b/>
      <sz val="11"/>
      <color rgb="FF3F3F3F"/>
      <name val="Arial"/>
      <family val="2"/>
    </font>
    <font>
      <b/>
      <sz val="13"/>
      <color theme="3"/>
      <name val="Arial"/>
      <family val="2"/>
    </font>
    <font>
      <b/>
      <sz val="11"/>
      <color theme="3"/>
      <name val="Arial"/>
      <family val="2"/>
    </font>
    <font>
      <b/>
      <sz val="15"/>
      <color theme="3"/>
      <name val="Arial"/>
      <family val="2"/>
    </font>
    <font>
      <sz val="11"/>
      <color rgb="FF006100"/>
      <name val="Calibri"/>
      <family val="2"/>
      <scheme val="minor"/>
    </font>
    <font>
      <sz val="11"/>
      <color rgb="FF9C0006"/>
      <name val="Calibri"/>
      <family val="2"/>
      <scheme val="minor"/>
    </font>
    <font>
      <b/>
      <sz val="11"/>
      <color theme="1" tint="0.34998626667073579"/>
      <name val="Calibri"/>
      <family val="2"/>
      <scheme val="minor"/>
    </font>
    <font>
      <sz val="11"/>
      <color theme="1" tint="0.24994659260841701"/>
      <name val="Calibri Light"/>
      <family val="2"/>
      <scheme val="major"/>
    </font>
    <font>
      <b/>
      <sz val="13"/>
      <color theme="1" tint="0.24994659260841701"/>
      <name val="Calibri Light"/>
      <family val="2"/>
      <scheme val="major"/>
    </font>
    <font>
      <b/>
      <sz val="13"/>
      <color theme="7"/>
      <name val="Calibri Light"/>
      <family val="2"/>
      <scheme val="major"/>
    </font>
    <font>
      <sz val="8"/>
      <name val="Calibri"/>
      <family val="2"/>
      <scheme val="minor"/>
    </font>
    <font>
      <sz val="10"/>
      <color theme="1"/>
      <name val="Calibri"/>
      <family val="2"/>
      <scheme val="minor"/>
    </font>
    <font>
      <sz val="9"/>
      <color theme="1" tint="0.24994659260841701"/>
      <name val="Calibri"/>
      <family val="2"/>
      <scheme val="minor"/>
    </font>
    <font>
      <b/>
      <sz val="12"/>
      <color theme="0" tint="-0.249977111117893"/>
      <name val="Calibri"/>
      <family val="2"/>
      <scheme val="minor"/>
    </font>
    <font>
      <sz val="11"/>
      <color theme="0" tint="-0.249977111117893"/>
      <name val="Calibri"/>
      <family val="2"/>
      <scheme val="minor"/>
    </font>
    <font>
      <b/>
      <sz val="11"/>
      <color rgb="FF002060"/>
      <name val="Calibri"/>
      <family val="2"/>
      <scheme val="minor"/>
    </font>
    <font>
      <sz val="11"/>
      <color rgb="FF002060"/>
      <name val="Calibri"/>
      <family val="2"/>
      <scheme val="minor"/>
    </font>
    <font>
      <b/>
      <sz val="10"/>
      <color rgb="FF002060"/>
      <name val="Calibri"/>
      <family val="2"/>
      <scheme val="minor"/>
    </font>
    <font>
      <b/>
      <sz val="14"/>
      <color rgb="FF002060"/>
      <name val="Calibri"/>
      <family val="2"/>
      <scheme val="minor"/>
    </font>
    <font>
      <b/>
      <sz val="8"/>
      <color rgb="FF002060"/>
      <name val="Calibri"/>
      <family val="2"/>
      <scheme val="minor"/>
    </font>
    <font>
      <b/>
      <sz val="12"/>
      <color rgb="FF002060"/>
      <name val="Calibri"/>
      <family val="2"/>
      <scheme val="minor"/>
    </font>
    <font>
      <sz val="11"/>
      <color theme="0"/>
      <name val="Calibri"/>
      <family val="2"/>
      <scheme val="minor"/>
    </font>
    <font>
      <b/>
      <sz val="14"/>
      <color theme="0"/>
      <name val="Arial"/>
      <family val="2"/>
    </font>
    <font>
      <b/>
      <sz val="10"/>
      <color theme="0"/>
      <name val="Calibri"/>
      <family val="2"/>
      <scheme val="minor"/>
    </font>
    <font>
      <b/>
      <sz val="12"/>
      <color theme="0"/>
      <name val="Calibri"/>
      <family val="2"/>
      <scheme val="minor"/>
    </font>
    <font>
      <sz val="10"/>
      <color theme="0"/>
      <name val="Calibri"/>
      <family val="2"/>
      <scheme val="minor"/>
    </font>
    <font>
      <b/>
      <sz val="18"/>
      <color theme="0"/>
      <name val="Arial"/>
      <family val="2"/>
    </font>
    <font>
      <b/>
      <i/>
      <sz val="11"/>
      <color theme="0"/>
      <name val="Arial"/>
      <family val="2"/>
    </font>
    <font>
      <sz val="14"/>
      <color theme="1"/>
      <name val="Calibri"/>
      <family val="2"/>
      <scheme val="minor"/>
    </font>
    <font>
      <b/>
      <sz val="14"/>
      <color theme="0"/>
      <name val="Calibri"/>
      <family val="2"/>
      <scheme val="minor"/>
    </font>
    <font>
      <b/>
      <sz val="16"/>
      <color theme="0"/>
      <name val="Calibri"/>
      <family val="2"/>
      <scheme val="minor"/>
    </font>
    <font>
      <sz val="9"/>
      <name val="Arial"/>
      <family val="2"/>
    </font>
    <font>
      <sz val="9"/>
      <color theme="1"/>
      <name val="Calibri"/>
      <family val="2"/>
      <scheme val="minor"/>
    </font>
    <font>
      <b/>
      <sz val="20"/>
      <name val="Calibri"/>
      <family val="2"/>
      <scheme val="minor"/>
    </font>
    <font>
      <b/>
      <sz val="12"/>
      <name val="Calibri"/>
      <family val="2"/>
      <scheme val="minor"/>
    </font>
    <font>
      <sz val="12"/>
      <color theme="1"/>
      <name val="Calibri"/>
      <family val="2"/>
      <scheme val="minor"/>
    </font>
    <font>
      <b/>
      <sz val="18"/>
      <color rgb="FFFF0000"/>
      <name val="Calibri"/>
      <family val="2"/>
      <scheme val="minor"/>
    </font>
    <font>
      <b/>
      <sz val="22"/>
      <color rgb="FFFF0000"/>
      <name val="Calibri"/>
      <family val="2"/>
      <scheme val="minor"/>
    </font>
    <font>
      <b/>
      <sz val="16"/>
      <color theme="1"/>
      <name val="Calibri"/>
      <family val="2"/>
      <scheme val="minor"/>
    </font>
    <font>
      <b/>
      <sz val="18"/>
      <color theme="1"/>
      <name val="Calibri"/>
      <family val="2"/>
      <scheme val="minor"/>
    </font>
    <font>
      <sz val="9"/>
      <color rgb="FF000000"/>
      <name val="Calibri"/>
      <family val="2"/>
      <scheme val="minor"/>
    </font>
    <font>
      <sz val="8"/>
      <color theme="1"/>
      <name val="Calibri"/>
      <family val="2"/>
      <scheme val="minor"/>
    </font>
    <font>
      <b/>
      <sz val="8"/>
      <color theme="0"/>
      <name val="Calibri"/>
      <family val="2"/>
      <scheme val="minor"/>
    </font>
    <font>
      <sz val="8"/>
      <color theme="0"/>
      <name val="Calibri"/>
      <family val="2"/>
      <scheme val="minor"/>
    </font>
    <font>
      <b/>
      <sz val="10"/>
      <color theme="1"/>
      <name val="Calibri"/>
      <family val="2"/>
      <scheme val="minor"/>
    </font>
    <font>
      <b/>
      <sz val="14"/>
      <color theme="1"/>
      <name val="Calibri"/>
      <family val="2"/>
      <scheme val="minor"/>
    </font>
    <font>
      <sz val="10"/>
      <color theme="0"/>
      <name val="Arial"/>
      <family val="2"/>
    </font>
    <font>
      <b/>
      <sz val="20"/>
      <color rgb="FFFF0000"/>
      <name val="Calibri"/>
      <family val="2"/>
      <scheme val="minor"/>
    </font>
  </fonts>
  <fills count="21">
    <fill>
      <patternFill patternType="none"/>
    </fill>
    <fill>
      <patternFill patternType="gray125"/>
    </fill>
    <fill>
      <patternFill patternType="solid">
        <fgColor rgb="FFA5A5A5"/>
      </patternFill>
    </fill>
    <fill>
      <patternFill patternType="solid">
        <fgColor theme="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4" tint="0.39997558519241921"/>
        <bgColor indexed="65"/>
      </patternFill>
    </fill>
    <fill>
      <patternFill patternType="solid">
        <fgColor theme="4" tint="0.399975585192419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2060"/>
        <bgColor indexed="64"/>
      </patternFill>
    </fill>
    <fill>
      <patternFill patternType="solid">
        <fgColor rgb="FFF2F2F2"/>
      </patternFill>
    </fill>
    <fill>
      <patternFill patternType="solid">
        <fgColor rgb="FFC6EFCE"/>
      </patternFill>
    </fill>
    <fill>
      <patternFill patternType="solid">
        <fgColor rgb="FFFFC7CE"/>
      </patternFill>
    </fill>
    <fill>
      <patternFill patternType="solid">
        <fgColor theme="4" tint="0.79998168889431442"/>
        <bgColor theme="4" tint="0.79998168889431442"/>
      </patternFill>
    </fill>
    <fill>
      <patternFill patternType="solid">
        <fgColor rgb="FF002060"/>
        <bgColor theme="4"/>
      </patternFill>
    </fill>
    <fill>
      <patternFill patternType="solid">
        <fgColor theme="1"/>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double">
        <color rgb="FF3F3F3F"/>
      </left>
      <right style="double">
        <color rgb="FF3F3F3F"/>
      </right>
      <top style="double">
        <color rgb="FF3F3F3F"/>
      </top>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medium">
        <color indexed="64"/>
      </top>
      <bottom/>
      <diagonal/>
    </border>
    <border>
      <left/>
      <right style="medium">
        <color indexed="64"/>
      </right>
      <top style="thin">
        <color indexed="64"/>
      </top>
      <bottom/>
      <diagonal/>
    </border>
    <border>
      <left style="thin">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thin">
        <color rgb="FFB2B2B2"/>
      </bottom>
      <diagonal/>
    </border>
    <border>
      <left/>
      <right/>
      <top style="medium">
        <color indexed="64"/>
      </top>
      <bottom style="thin">
        <color rgb="FFB2B2B2"/>
      </bottom>
      <diagonal/>
    </border>
    <border>
      <left/>
      <right style="medium">
        <color indexed="64"/>
      </right>
      <top style="medium">
        <color indexed="64"/>
      </top>
      <bottom style="thin">
        <color rgb="FFB2B2B2"/>
      </bottom>
      <diagonal/>
    </border>
    <border>
      <left style="medium">
        <color indexed="64"/>
      </left>
      <right style="double">
        <color rgb="FF3F3F3F"/>
      </right>
      <top style="thin">
        <color rgb="FFB2B2B2"/>
      </top>
      <bottom style="medium">
        <color indexed="64"/>
      </bottom>
      <diagonal/>
    </border>
    <border>
      <left style="double">
        <color rgb="FF3F3F3F"/>
      </left>
      <right style="double">
        <color rgb="FF3F3F3F"/>
      </right>
      <top style="thin">
        <color rgb="FFB2B2B2"/>
      </top>
      <bottom style="medium">
        <color indexed="64"/>
      </bottom>
      <diagonal/>
    </border>
    <border>
      <left style="double">
        <color rgb="FF3F3F3F"/>
      </left>
      <right style="medium">
        <color indexed="64"/>
      </right>
      <top style="thin">
        <color rgb="FFB2B2B2"/>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rgb="FFB2B2B2"/>
      </right>
      <top style="thin">
        <color indexed="64"/>
      </top>
      <bottom/>
      <diagonal/>
    </border>
    <border>
      <left style="medium">
        <color indexed="64"/>
      </left>
      <right style="thin">
        <color rgb="FFB2B2B2"/>
      </right>
      <top/>
      <bottom style="medium">
        <color indexed="64"/>
      </bottom>
      <diagonal/>
    </border>
    <border>
      <left style="thin">
        <color rgb="FFB2B2B2"/>
      </left>
      <right style="thin">
        <color rgb="FFB2B2B2"/>
      </right>
      <top/>
      <bottom style="medium">
        <color indexed="64"/>
      </bottom>
      <diagonal/>
    </border>
    <border>
      <left style="thin">
        <color rgb="FFB2B2B2"/>
      </left>
      <right style="medium">
        <color indexed="64"/>
      </right>
      <top/>
      <bottom style="medium">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double">
        <color rgb="FF3F3F3F"/>
      </left>
      <right/>
      <top style="double">
        <color rgb="FF3F3F3F"/>
      </top>
      <bottom/>
      <diagonal/>
    </border>
    <border>
      <left style="medium">
        <color indexed="64"/>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thin">
        <color theme="4" tint="0.39997558519241921"/>
      </bottom>
      <diagonal/>
    </border>
    <border>
      <left style="thin">
        <color indexed="64"/>
      </left>
      <right style="medium">
        <color indexed="64"/>
      </right>
      <top style="thin">
        <color indexed="64"/>
      </top>
      <bottom/>
      <diagonal/>
    </border>
    <border>
      <left/>
      <right style="thin">
        <color indexed="64"/>
      </right>
      <top style="thin">
        <color indexed="64"/>
      </top>
      <bottom style="thin">
        <color theme="4" tint="0.39997558519241921"/>
      </bottom>
      <diagonal/>
    </border>
    <border>
      <left/>
      <right/>
      <top/>
      <bottom style="thin">
        <color theme="7"/>
      </bottom>
      <diagonal/>
    </border>
    <border>
      <left/>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top style="thin">
        <color indexed="64"/>
      </top>
      <bottom style="medium">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s>
  <cellStyleXfs count="24">
    <xf numFmtId="0" fontId="0" fillId="0" borderId="0"/>
    <xf numFmtId="0" fontId="1" fillId="2" borderId="2" applyNumberFormat="0" applyAlignment="0" applyProtection="0"/>
    <xf numFmtId="0" fontId="5" fillId="0" borderId="0"/>
    <xf numFmtId="0" fontId="2" fillId="7" borderId="37" applyNumberFormat="0" applyFont="0" applyAlignment="0" applyProtection="0"/>
    <xf numFmtId="0" fontId="2" fillId="8" borderId="0" applyNumberFormat="0" applyBorder="0" applyAlignment="0" applyProtection="0"/>
    <xf numFmtId="0" fontId="2" fillId="0" borderId="0"/>
    <xf numFmtId="9" fontId="2" fillId="0" borderId="0" applyFont="0" applyFill="0" applyBorder="0" applyAlignment="0" applyProtection="0"/>
    <xf numFmtId="0" fontId="5" fillId="0" borderId="0"/>
    <xf numFmtId="168" fontId="5" fillId="0" borderId="0" applyFont="0" applyFill="0" applyBorder="0" applyAlignment="0" applyProtection="0"/>
    <xf numFmtId="9" fontId="5" fillId="0" borderId="0" applyFont="0" applyFill="0" applyBorder="0" applyAlignment="0" applyProtection="0"/>
    <xf numFmtId="44" fontId="5" fillId="0" borderId="0" applyFont="0" applyFill="0" applyBorder="0" applyAlignment="0" applyProtection="0"/>
    <xf numFmtId="0" fontId="13" fillId="15" borderId="70" applyNumberFormat="0" applyAlignment="0" applyProtection="0"/>
    <xf numFmtId="9" fontId="5" fillId="0" borderId="0" applyFont="0" applyFill="0" applyBorder="0" applyAlignment="0" applyProtection="0"/>
    <xf numFmtId="168" fontId="5" fillId="0" borderId="0" applyFont="0" applyFill="0" applyBorder="0" applyAlignment="0" applyProtection="0"/>
    <xf numFmtId="0" fontId="14" fillId="0" borderId="68" applyNumberFormat="0" applyFill="0" applyAlignment="0" applyProtection="0"/>
    <xf numFmtId="0" fontId="15" fillId="0" borderId="69" applyNumberFormat="0" applyFill="0" applyAlignment="0" applyProtection="0"/>
    <xf numFmtId="0" fontId="16" fillId="0" borderId="67" applyNumberFormat="0" applyFill="0" applyAlignment="0" applyProtection="0"/>
    <xf numFmtId="0" fontId="17" fillId="16" borderId="0" applyNumberFormat="0" applyBorder="0" applyAlignment="0" applyProtection="0"/>
    <xf numFmtId="0" fontId="18" fillId="17" borderId="0" applyNumberFormat="0" applyBorder="0" applyAlignment="0" applyProtection="0"/>
    <xf numFmtId="0" fontId="19" fillId="0" borderId="0" applyFill="0" applyProtection="0">
      <alignment horizontal="left"/>
    </xf>
    <xf numFmtId="0" fontId="20" fillId="0" borderId="0" applyNumberFormat="0" applyFill="0" applyBorder="0" applyProtection="0">
      <alignment horizontal="center" vertical="center"/>
    </xf>
    <xf numFmtId="3" fontId="19" fillId="0" borderId="77" applyFill="0" applyProtection="0">
      <alignment horizontal="center"/>
    </xf>
    <xf numFmtId="0" fontId="21" fillId="0" borderId="0" applyFill="0" applyBorder="0" applyProtection="0">
      <alignment horizontal="left" wrapText="1"/>
    </xf>
    <xf numFmtId="9" fontId="22" fillId="0" borderId="0" applyFill="0" applyBorder="0" applyProtection="0">
      <alignment horizontal="center" vertical="center"/>
    </xf>
  </cellStyleXfs>
  <cellXfs count="461">
    <xf numFmtId="0" fontId="0" fillId="0" borderId="0" xfId="0"/>
    <xf numFmtId="0" fontId="0" fillId="3" borderId="0" xfId="0" applyFill="1"/>
    <xf numFmtId="0" fontId="0" fillId="0" borderId="0" xfId="0" applyAlignment="1">
      <alignment horizontal="center" vertical="center"/>
    </xf>
    <xf numFmtId="0" fontId="7" fillId="3" borderId="0" xfId="0" applyFont="1" applyFill="1"/>
    <xf numFmtId="0" fontId="3" fillId="3" borderId="0" xfId="0" applyFont="1" applyFill="1" applyAlignment="1">
      <alignment horizontal="center"/>
    </xf>
    <xf numFmtId="0" fontId="3" fillId="7" borderId="52" xfId="3" applyFont="1" applyBorder="1" applyAlignment="1" applyProtection="1">
      <alignment horizontal="center" vertical="center" wrapText="1"/>
    </xf>
    <xf numFmtId="0" fontId="3" fillId="7" borderId="7" xfId="3" applyFont="1" applyBorder="1" applyAlignment="1" applyProtection="1">
      <alignment horizontal="center" vertical="center" wrapText="1"/>
    </xf>
    <xf numFmtId="0" fontId="3" fillId="3" borderId="0" xfId="0" applyFont="1" applyFill="1" applyAlignment="1" applyProtection="1">
      <alignment horizontal="center"/>
      <protection locked="0"/>
    </xf>
    <xf numFmtId="0" fontId="3" fillId="3" borderId="0" xfId="3" applyFont="1" applyFill="1" applyBorder="1" applyAlignment="1" applyProtection="1">
      <alignment vertical="center" wrapText="1"/>
    </xf>
    <xf numFmtId="0" fontId="3" fillId="11" borderId="1" xfId="3" applyFont="1" applyFill="1" applyBorder="1" applyAlignment="1" applyProtection="1">
      <alignment horizontal="left" vertical="center" wrapText="1"/>
    </xf>
    <xf numFmtId="0" fontId="2" fillId="12" borderId="8" xfId="3" applyFont="1" applyFill="1" applyBorder="1" applyAlignment="1" applyProtection="1">
      <alignment horizontal="center" vertical="center" wrapText="1"/>
    </xf>
    <xf numFmtId="0" fontId="3" fillId="3" borderId="13" xfId="3" applyFont="1" applyFill="1" applyBorder="1" applyAlignment="1" applyProtection="1">
      <alignment vertical="center" wrapText="1"/>
    </xf>
    <xf numFmtId="0" fontId="3" fillId="11" borderId="23" xfId="3" applyFont="1" applyFill="1" applyBorder="1" applyAlignment="1" applyProtection="1">
      <alignment horizontal="center" vertical="center" wrapText="1"/>
    </xf>
    <xf numFmtId="0" fontId="3" fillId="11" borderId="6" xfId="3" applyFont="1" applyFill="1" applyBorder="1" applyAlignment="1" applyProtection="1">
      <alignment horizontal="center" vertical="center" wrapText="1"/>
    </xf>
    <xf numFmtId="0" fontId="12" fillId="0" borderId="39" xfId="0" applyFont="1" applyBorder="1" applyAlignment="1" applyProtection="1">
      <alignment horizontal="center" vertical="center" wrapText="1"/>
      <protection locked="0"/>
    </xf>
    <xf numFmtId="0" fontId="12" fillId="0" borderId="39" xfId="0" applyFont="1" applyBorder="1" applyAlignment="1" applyProtection="1">
      <alignment horizontal="left" vertical="center" wrapText="1"/>
      <protection locked="0"/>
    </xf>
    <xf numFmtId="1" fontId="12" fillId="0" borderId="39" xfId="0" applyNumberFormat="1" applyFont="1" applyBorder="1" applyAlignment="1" applyProtection="1">
      <alignment horizontal="center" vertical="center" wrapText="1"/>
      <protection locked="0"/>
    </xf>
    <xf numFmtId="9" fontId="3" fillId="3" borderId="24" xfId="6" applyFont="1" applyFill="1" applyBorder="1" applyAlignment="1" applyProtection="1">
      <alignment horizontal="center" vertical="center" wrapText="1"/>
      <protection locked="0"/>
    </xf>
    <xf numFmtId="9" fontId="3" fillId="3" borderId="10" xfId="6" applyFont="1" applyFill="1" applyBorder="1" applyAlignment="1" applyProtection="1">
      <alignment horizontal="center" vertical="center" wrapText="1"/>
      <protection locked="0"/>
    </xf>
    <xf numFmtId="0" fontId="0" fillId="0" borderId="0" xfId="0" applyAlignment="1" applyProtection="1">
      <alignment horizontal="center"/>
      <protection locked="0"/>
    </xf>
    <xf numFmtId="0" fontId="0" fillId="0" borderId="1" xfId="0" applyBorder="1" applyAlignment="1" applyProtection="1">
      <alignment horizontal="center"/>
      <protection locked="0"/>
    </xf>
    <xf numFmtId="1" fontId="0" fillId="0" borderId="1" xfId="0" applyNumberFormat="1" applyBorder="1" applyAlignment="1" applyProtection="1">
      <alignment horizontal="center"/>
      <protection locked="0"/>
    </xf>
    <xf numFmtId="1" fontId="0" fillId="0" borderId="3" xfId="0" applyNumberFormat="1" applyBorder="1" applyAlignment="1" applyProtection="1">
      <alignment horizontal="center"/>
      <protection locked="0"/>
    </xf>
    <xf numFmtId="1" fontId="0" fillId="0" borderId="64" xfId="0" applyNumberFormat="1" applyBorder="1" applyAlignment="1" applyProtection="1">
      <alignment horizontal="center"/>
      <protection locked="0"/>
    </xf>
    <xf numFmtId="166" fontId="0" fillId="0" borderId="23" xfId="10" applyNumberFormat="1" applyFont="1" applyBorder="1" applyAlignment="1" applyProtection="1">
      <alignment horizontal="left" vertical="center"/>
      <protection locked="0"/>
    </xf>
    <xf numFmtId="166" fontId="0" fillId="0" borderId="1" xfId="10" applyNumberFormat="1" applyFont="1" applyBorder="1" applyAlignment="1" applyProtection="1">
      <alignment horizontal="left"/>
      <protection locked="0"/>
    </xf>
    <xf numFmtId="166" fontId="0" fillId="0" borderId="24" xfId="10" applyNumberFormat="1" applyFont="1" applyBorder="1" applyAlignment="1" applyProtection="1">
      <alignment horizontal="left"/>
      <protection locked="0"/>
    </xf>
    <xf numFmtId="0" fontId="0" fillId="0" borderId="39" xfId="0" applyBorder="1" applyAlignment="1" applyProtection="1">
      <alignment horizontal="center"/>
      <protection locked="0"/>
    </xf>
    <xf numFmtId="1" fontId="0" fillId="0" borderId="39" xfId="0" applyNumberFormat="1" applyBorder="1" applyAlignment="1" applyProtection="1">
      <alignment horizontal="center"/>
      <protection locked="0"/>
    </xf>
    <xf numFmtId="1" fontId="0" fillId="0" borderId="33" xfId="0" applyNumberFormat="1" applyBorder="1" applyAlignment="1" applyProtection="1">
      <alignment horizontal="center"/>
      <protection locked="0"/>
    </xf>
    <xf numFmtId="0" fontId="0" fillId="0" borderId="0" xfId="0" applyProtection="1">
      <protection locked="0"/>
    </xf>
    <xf numFmtId="0" fontId="0" fillId="3" borderId="0" xfId="0" applyFill="1" applyProtection="1">
      <protection locked="0"/>
    </xf>
    <xf numFmtId="0" fontId="27" fillId="0" borderId="3" xfId="20" applyFont="1" applyBorder="1" applyProtection="1">
      <alignment horizontal="center" vertical="center"/>
      <protection locked="0"/>
    </xf>
    <xf numFmtId="0" fontId="30" fillId="3" borderId="56" xfId="19" applyFont="1" applyFill="1" applyBorder="1" applyAlignment="1" applyProtection="1">
      <alignment vertical="center"/>
    </xf>
    <xf numFmtId="0" fontId="30" fillId="3" borderId="78" xfId="19" applyFont="1" applyFill="1" applyBorder="1" applyAlignment="1" applyProtection="1">
      <alignment vertical="center"/>
    </xf>
    <xf numFmtId="0" fontId="31" fillId="3" borderId="78" xfId="19" applyFont="1" applyFill="1" applyBorder="1" applyAlignment="1" applyProtection="1">
      <alignment vertical="center"/>
    </xf>
    <xf numFmtId="0" fontId="31" fillId="3" borderId="82" xfId="19" applyFont="1" applyFill="1" applyBorder="1" applyAlignment="1" applyProtection="1">
      <alignment vertical="center"/>
    </xf>
    <xf numFmtId="3" fontId="32" fillId="0" borderId="84" xfId="21" applyFont="1" applyBorder="1" applyAlignment="1" applyProtection="1">
      <alignment horizontal="center" vertical="center" textRotation="90"/>
    </xf>
    <xf numFmtId="3" fontId="32" fillId="0" borderId="39" xfId="21" applyFont="1" applyBorder="1" applyAlignment="1" applyProtection="1">
      <alignment horizontal="center" vertical="center" textRotation="90"/>
    </xf>
    <xf numFmtId="3" fontId="32" fillId="0" borderId="75" xfId="21" applyFont="1" applyBorder="1" applyAlignment="1" applyProtection="1">
      <alignment horizontal="center" vertical="center" textRotation="90"/>
    </xf>
    <xf numFmtId="3" fontId="32" fillId="0" borderId="22" xfId="21" applyFont="1" applyBorder="1" applyAlignment="1" applyProtection="1">
      <alignment horizontal="center" vertical="center" textRotation="90"/>
    </xf>
    <xf numFmtId="0" fontId="25" fillId="0" borderId="12" xfId="20" applyFont="1" applyBorder="1" applyAlignment="1" applyProtection="1">
      <alignment horizontal="center"/>
    </xf>
    <xf numFmtId="0" fontId="25" fillId="0" borderId="0" xfId="20" applyFont="1" applyBorder="1" applyAlignment="1" applyProtection="1">
      <alignment horizontal="center"/>
    </xf>
    <xf numFmtId="0" fontId="25" fillId="0" borderId="13" xfId="20" applyFont="1" applyBorder="1" applyAlignment="1" applyProtection="1">
      <alignment horizontal="center"/>
    </xf>
    <xf numFmtId="0" fontId="25" fillId="0" borderId="14" xfId="20" applyFont="1" applyBorder="1" applyAlignment="1" applyProtection="1">
      <alignment horizontal="center"/>
    </xf>
    <xf numFmtId="0" fontId="25" fillId="0" borderId="15" xfId="20" applyFont="1" applyBorder="1" applyAlignment="1" applyProtection="1">
      <alignment horizontal="center"/>
    </xf>
    <xf numFmtId="0" fontId="1" fillId="3" borderId="0" xfId="1" applyFill="1" applyBorder="1" applyAlignment="1" applyProtection="1">
      <alignment vertical="center" textRotation="90"/>
      <protection locked="0"/>
    </xf>
    <xf numFmtId="0" fontId="8" fillId="0" borderId="11" xfId="0" applyFont="1" applyBorder="1" applyAlignment="1" applyProtection="1">
      <alignment horizontal="center"/>
      <protection locked="0"/>
    </xf>
    <xf numFmtId="0" fontId="8" fillId="0" borderId="1" xfId="0" applyFont="1" applyBorder="1" applyAlignment="1" applyProtection="1">
      <alignment horizontal="left" wrapText="1"/>
      <protection locked="0"/>
    </xf>
    <xf numFmtId="167" fontId="0" fillId="0" borderId="6" xfId="0" applyNumberFormat="1" applyBorder="1" applyAlignment="1" applyProtection="1">
      <alignment horizontal="center" vertical="center"/>
      <protection locked="0"/>
    </xf>
    <xf numFmtId="0" fontId="8" fillId="0" borderId="0" xfId="0" applyFont="1" applyAlignment="1" applyProtection="1">
      <alignment horizontal="center"/>
      <protection locked="0"/>
    </xf>
    <xf numFmtId="167" fontId="0" fillId="0" borderId="8" xfId="0" applyNumberFormat="1" applyBorder="1" applyAlignment="1" applyProtection="1">
      <alignment horizontal="center" vertical="center"/>
      <protection locked="0"/>
    </xf>
    <xf numFmtId="167" fontId="0" fillId="0" borderId="10" xfId="0" applyNumberFormat="1" applyBorder="1" applyAlignment="1" applyProtection="1">
      <alignment horizontal="center" vertical="center"/>
      <protection locked="0"/>
    </xf>
    <xf numFmtId="166" fontId="4" fillId="18" borderId="1" xfId="10" applyNumberFormat="1" applyFont="1" applyFill="1" applyBorder="1" applyAlignment="1" applyProtection="1">
      <alignment horizontal="left"/>
      <protection locked="0"/>
    </xf>
    <xf numFmtId="167" fontId="4" fillId="18" borderId="1" xfId="0" applyNumberFormat="1" applyFont="1" applyFill="1" applyBorder="1" applyAlignment="1" applyProtection="1">
      <alignment horizontal="center" vertical="center"/>
      <protection locked="0"/>
    </xf>
    <xf numFmtId="166" fontId="4" fillId="0" borderId="1" xfId="10" applyNumberFormat="1" applyFont="1" applyBorder="1" applyAlignment="1" applyProtection="1">
      <alignment horizontal="left"/>
      <protection locked="0"/>
    </xf>
    <xf numFmtId="167" fontId="4" fillId="0" borderId="1" xfId="0" applyNumberFormat="1" applyFont="1" applyBorder="1" applyAlignment="1" applyProtection="1">
      <alignment horizontal="center" vertical="center"/>
      <protection locked="0"/>
    </xf>
    <xf numFmtId="0" fontId="8" fillId="0" borderId="39" xfId="0" applyFont="1" applyBorder="1" applyAlignment="1" applyProtection="1">
      <alignment horizontal="left" wrapText="1"/>
      <protection locked="0"/>
    </xf>
    <xf numFmtId="0" fontId="0" fillId="0" borderId="19" xfId="0" applyBorder="1" applyAlignment="1" applyProtection="1">
      <alignment horizontal="center"/>
      <protection locked="0"/>
    </xf>
    <xf numFmtId="0" fontId="0" fillId="0" borderId="1" xfId="0" applyBorder="1" applyAlignment="1" applyProtection="1">
      <alignment horizontal="left" wrapText="1"/>
      <protection locked="0"/>
    </xf>
    <xf numFmtId="166" fontId="4" fillId="0" borderId="74" xfId="10" applyNumberFormat="1" applyFont="1" applyBorder="1" applyAlignment="1" applyProtection="1">
      <alignment horizontal="left"/>
      <protection locked="0"/>
    </xf>
    <xf numFmtId="0" fontId="0" fillId="0" borderId="1" xfId="0" applyBorder="1" applyAlignment="1" applyProtection="1">
      <alignment horizontal="left"/>
      <protection locked="0"/>
    </xf>
    <xf numFmtId="0" fontId="0" fillId="0" borderId="22" xfId="0" applyBorder="1" applyAlignment="1" applyProtection="1">
      <alignment horizontal="center"/>
      <protection locked="0"/>
    </xf>
    <xf numFmtId="0" fontId="0" fillId="0" borderId="39" xfId="0" applyBorder="1" applyAlignment="1" applyProtection="1">
      <alignment horizontal="left"/>
      <protection locked="0"/>
    </xf>
    <xf numFmtId="166" fontId="0" fillId="0" borderId="1" xfId="0" applyNumberFormat="1" applyBorder="1"/>
    <xf numFmtId="169" fontId="8" fillId="10" borderId="0" xfId="0" applyNumberFormat="1" applyFont="1" applyFill="1"/>
    <xf numFmtId="0" fontId="17" fillId="16" borderId="5" xfId="17" applyBorder="1" applyAlignment="1" applyProtection="1">
      <alignment horizontal="left"/>
    </xf>
    <xf numFmtId="0" fontId="0" fillId="0" borderId="46" xfId="0" applyBorder="1" applyAlignment="1">
      <alignment horizontal="left" vertical="center"/>
    </xf>
    <xf numFmtId="0" fontId="17" fillId="16" borderId="7" xfId="17" applyBorder="1" applyAlignment="1" applyProtection="1">
      <alignment horizontal="left"/>
    </xf>
    <xf numFmtId="0" fontId="0" fillId="0" borderId="19" xfId="0" applyBorder="1" applyAlignment="1">
      <alignment horizontal="left"/>
    </xf>
    <xf numFmtId="0" fontId="17" fillId="16" borderId="9" xfId="17" applyBorder="1" applyAlignment="1" applyProtection="1">
      <alignment horizontal="left"/>
    </xf>
    <xf numFmtId="0" fontId="0" fillId="0" borderId="54" xfId="0" applyBorder="1" applyAlignment="1">
      <alignment horizontal="left"/>
    </xf>
    <xf numFmtId="0" fontId="18" fillId="17" borderId="5" xfId="18" applyBorder="1" applyAlignment="1" applyProtection="1">
      <alignment horizontal="left"/>
    </xf>
    <xf numFmtId="0" fontId="18" fillId="17" borderId="52" xfId="18" applyBorder="1" applyAlignment="1" applyProtection="1">
      <alignment horizontal="left"/>
    </xf>
    <xf numFmtId="0" fontId="18" fillId="17" borderId="66" xfId="18" applyBorder="1" applyAlignment="1" applyProtection="1">
      <alignment horizontal="left"/>
    </xf>
    <xf numFmtId="0" fontId="4" fillId="18" borderId="19" xfId="0" applyFont="1" applyFill="1" applyBorder="1" applyAlignment="1">
      <alignment horizontal="left"/>
    </xf>
    <xf numFmtId="0" fontId="4" fillId="0" borderId="19" xfId="0" applyFont="1" applyBorder="1" applyAlignment="1">
      <alignment horizontal="left"/>
    </xf>
    <xf numFmtId="0" fontId="4" fillId="0" borderId="76" xfId="0" applyFont="1" applyBorder="1" applyAlignment="1">
      <alignment horizontal="left"/>
    </xf>
    <xf numFmtId="0" fontId="0" fillId="0" borderId="0" xfId="0" applyAlignment="1">
      <alignment horizontal="center"/>
    </xf>
    <xf numFmtId="0" fontId="6" fillId="6" borderId="5" xfId="0" applyFont="1" applyFill="1" applyBorder="1"/>
    <xf numFmtId="0" fontId="6" fillId="6" borderId="7" xfId="0" applyFont="1" applyFill="1" applyBorder="1"/>
    <xf numFmtId="0" fontId="6" fillId="6" borderId="9" xfId="0" applyFont="1" applyFill="1" applyBorder="1"/>
    <xf numFmtId="0" fontId="7" fillId="3" borderId="29" xfId="0" applyFont="1" applyFill="1" applyBorder="1" applyProtection="1">
      <protection locked="0"/>
    </xf>
    <xf numFmtId="0" fontId="7" fillId="3" borderId="30" xfId="0" applyFont="1" applyFill="1" applyBorder="1" applyProtection="1">
      <protection locked="0"/>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7" fillId="3" borderId="8" xfId="0" applyFont="1" applyFill="1" applyBorder="1" applyProtection="1">
      <protection locked="0"/>
    </xf>
    <xf numFmtId="0" fontId="7" fillId="3" borderId="10" xfId="0" applyFont="1" applyFill="1" applyBorder="1" applyProtection="1">
      <protection locked="0"/>
    </xf>
    <xf numFmtId="0" fontId="3" fillId="9" borderId="31" xfId="0" applyFont="1" applyFill="1" applyBorder="1"/>
    <xf numFmtId="0" fontId="3" fillId="11" borderId="52" xfId="0" applyFont="1" applyFill="1" applyBorder="1" applyAlignment="1">
      <alignment horizontal="left" vertical="center" wrapText="1"/>
    </xf>
    <xf numFmtId="0" fontId="0" fillId="12" borderId="4" xfId="0" applyFill="1" applyBorder="1" applyAlignment="1">
      <alignment horizontal="center" vertical="center" wrapText="1"/>
    </xf>
    <xf numFmtId="0" fontId="3" fillId="11" borderId="4" xfId="0" applyFont="1" applyFill="1" applyBorder="1" applyAlignment="1">
      <alignment horizontal="left" vertical="center" wrapText="1"/>
    </xf>
    <xf numFmtId="0" fontId="0" fillId="12" borderId="25" xfId="0" applyFill="1" applyBorder="1" applyAlignment="1">
      <alignment horizontal="center" vertical="center" wrapText="1"/>
    </xf>
    <xf numFmtId="0" fontId="3" fillId="11" borderId="7" xfId="0" applyFont="1" applyFill="1" applyBorder="1" applyAlignment="1">
      <alignment vertical="center" wrapText="1"/>
    </xf>
    <xf numFmtId="0" fontId="0" fillId="12" borderId="1" xfId="0" applyFill="1" applyBorder="1" applyAlignment="1">
      <alignment horizontal="center" vertical="center" wrapText="1"/>
    </xf>
    <xf numFmtId="0" fontId="3" fillId="11" borderId="1" xfId="0" applyFont="1" applyFill="1" applyBorder="1" applyAlignment="1">
      <alignment horizontal="left" vertical="center" wrapText="1"/>
    </xf>
    <xf numFmtId="0" fontId="0" fillId="12" borderId="8" xfId="0" applyFill="1" applyBorder="1" applyAlignment="1">
      <alignment horizontal="center" vertical="center" wrapText="1"/>
    </xf>
    <xf numFmtId="0" fontId="3" fillId="11" borderId="7" xfId="0" applyFont="1" applyFill="1" applyBorder="1" applyAlignment="1">
      <alignment horizontal="left" vertical="center" wrapText="1"/>
    </xf>
    <xf numFmtId="0" fontId="3" fillId="12" borderId="8" xfId="0" applyFont="1" applyFill="1" applyBorder="1" applyAlignment="1">
      <alignment horizontal="center"/>
    </xf>
    <xf numFmtId="0" fontId="3" fillId="12" borderId="10" xfId="0" applyFont="1" applyFill="1" applyBorder="1" applyAlignment="1">
      <alignment horizontal="center"/>
    </xf>
    <xf numFmtId="0" fontId="3" fillId="10" borderId="0" xfId="0" applyFont="1" applyFill="1"/>
    <xf numFmtId="0" fontId="1" fillId="14" borderId="43" xfId="1" applyFill="1" applyBorder="1" applyAlignment="1" applyProtection="1">
      <alignment horizontal="center" vertical="center" wrapText="1"/>
    </xf>
    <xf numFmtId="0" fontId="1" fillId="14" borderId="44" xfId="1" applyFill="1" applyBorder="1" applyAlignment="1" applyProtection="1">
      <alignment horizontal="center" vertical="center" wrapText="1"/>
    </xf>
    <xf numFmtId="1" fontId="1" fillId="14" borderId="44" xfId="1" applyNumberFormat="1" applyFill="1" applyBorder="1" applyAlignment="1" applyProtection="1">
      <alignment horizontal="center" vertical="center" wrapText="1"/>
    </xf>
    <xf numFmtId="0" fontId="1" fillId="14" borderId="45" xfId="1" applyFill="1" applyBorder="1" applyAlignment="1" applyProtection="1">
      <alignment horizontal="center" vertical="center" wrapText="1"/>
    </xf>
    <xf numFmtId="0" fontId="0" fillId="3" borderId="0" xfId="0" applyFill="1" applyAlignment="1" applyProtection="1">
      <alignment horizontal="center"/>
      <protection locked="0"/>
    </xf>
    <xf numFmtId="0" fontId="0" fillId="10" borderId="0" xfId="0" applyFill="1"/>
    <xf numFmtId="0" fontId="12" fillId="14" borderId="56" xfId="0" applyFont="1" applyFill="1" applyBorder="1" applyAlignment="1">
      <alignment vertical="center" wrapText="1"/>
    </xf>
    <xf numFmtId="0" fontId="12" fillId="3" borderId="11" xfId="0" applyFont="1" applyFill="1" applyBorder="1" applyAlignment="1">
      <alignment horizontal="center" vertical="center"/>
    </xf>
    <xf numFmtId="0" fontId="0" fillId="3" borderId="14" xfId="0" applyFill="1" applyBorder="1"/>
    <xf numFmtId="0" fontId="5" fillId="0" borderId="1" xfId="0" applyFont="1" applyBorder="1" applyAlignment="1" applyProtection="1">
      <alignment horizontal="left" wrapText="1"/>
      <protection locked="0"/>
    </xf>
    <xf numFmtId="0" fontId="34" fillId="14" borderId="48" xfId="0" applyFont="1" applyFill="1" applyBorder="1" applyAlignment="1">
      <alignment horizontal="center" vertical="center" wrapText="1"/>
    </xf>
    <xf numFmtId="0" fontId="34" fillId="14" borderId="16" xfId="0" applyFont="1" applyFill="1" applyBorder="1" applyAlignment="1">
      <alignment horizontal="center" vertical="center" wrapText="1"/>
    </xf>
    <xf numFmtId="0" fontId="34" fillId="14" borderId="48" xfId="0" applyFont="1" applyFill="1" applyBorder="1" applyAlignment="1" applyProtection="1">
      <alignment horizontal="center" vertical="center" wrapText="1"/>
      <protection locked="0"/>
    </xf>
    <xf numFmtId="0" fontId="34" fillId="14" borderId="18" xfId="0" applyFont="1" applyFill="1" applyBorder="1" applyAlignment="1" applyProtection="1">
      <alignment horizontal="center" vertical="center" wrapText="1"/>
      <protection locked="0"/>
    </xf>
    <xf numFmtId="0" fontId="34" fillId="14" borderId="49" xfId="0" applyFont="1" applyFill="1" applyBorder="1" applyAlignment="1">
      <alignment horizontal="center" vertical="center" wrapText="1"/>
    </xf>
    <xf numFmtId="0" fontId="34" fillId="14" borderId="4" xfId="0" applyFont="1" applyFill="1" applyBorder="1" applyAlignment="1" applyProtection="1">
      <alignment horizontal="center" vertical="center" wrapText="1"/>
      <protection locked="0"/>
    </xf>
    <xf numFmtId="0" fontId="34" fillId="14" borderId="36" xfId="0" applyFont="1" applyFill="1" applyBorder="1" applyAlignment="1" applyProtection="1">
      <alignment horizontal="center" vertical="center" wrapText="1"/>
      <protection locked="0"/>
    </xf>
    <xf numFmtId="170" fontId="0" fillId="13" borderId="64" xfId="0" applyNumberFormat="1" applyFill="1" applyBorder="1" applyAlignment="1">
      <alignment horizontal="center"/>
    </xf>
    <xf numFmtId="170" fontId="0" fillId="13" borderId="64" xfId="10" applyNumberFormat="1" applyFont="1" applyFill="1" applyBorder="1" applyAlignment="1" applyProtection="1">
      <alignment horizontal="center"/>
    </xf>
    <xf numFmtId="166" fontId="11" fillId="13" borderId="6" xfId="10" applyNumberFormat="1" applyFont="1" applyFill="1" applyBorder="1" applyAlignment="1" applyProtection="1">
      <alignment horizontal="center"/>
    </xf>
    <xf numFmtId="170" fontId="0" fillId="13" borderId="3" xfId="0" applyNumberFormat="1" applyFill="1" applyBorder="1" applyAlignment="1">
      <alignment horizontal="center"/>
    </xf>
    <xf numFmtId="170" fontId="0" fillId="13" borderId="3" xfId="10" applyNumberFormat="1" applyFont="1" applyFill="1" applyBorder="1" applyAlignment="1" applyProtection="1">
      <alignment horizontal="center"/>
    </xf>
    <xf numFmtId="166" fontId="11" fillId="13" borderId="8" xfId="10" applyNumberFormat="1" applyFont="1" applyFill="1" applyBorder="1" applyAlignment="1" applyProtection="1">
      <alignment horizontal="center"/>
    </xf>
    <xf numFmtId="170" fontId="0" fillId="13" borderId="33" xfId="0" applyNumberFormat="1" applyFill="1" applyBorder="1" applyAlignment="1">
      <alignment horizontal="center"/>
    </xf>
    <xf numFmtId="170" fontId="0" fillId="13" borderId="33" xfId="10" applyNumberFormat="1" applyFont="1" applyFill="1" applyBorder="1" applyAlignment="1" applyProtection="1">
      <alignment horizontal="center"/>
    </xf>
    <xf numFmtId="166" fontId="11" fillId="13" borderId="75" xfId="10" applyNumberFormat="1" applyFont="1" applyFill="1" applyBorder="1" applyAlignment="1" applyProtection="1">
      <alignment horizontal="center"/>
    </xf>
    <xf numFmtId="0" fontId="5" fillId="0" borderId="23" xfId="0" applyFont="1" applyBorder="1" applyAlignment="1">
      <alignment horizontal="left" wrapText="1"/>
    </xf>
    <xf numFmtId="0" fontId="5" fillId="0" borderId="1" xfId="0" applyFont="1" applyBorder="1" applyAlignment="1">
      <alignment horizontal="left" wrapText="1"/>
    </xf>
    <xf numFmtId="0" fontId="34" fillId="14" borderId="0" xfId="0" applyFont="1" applyFill="1" applyAlignment="1">
      <alignment horizontal="center"/>
    </xf>
    <xf numFmtId="0" fontId="1" fillId="14" borderId="0" xfId="1" applyFill="1" applyBorder="1" applyAlignment="1" applyProtection="1">
      <alignment horizontal="center" vertical="center" wrapText="1"/>
    </xf>
    <xf numFmtId="0" fontId="40" fillId="14" borderId="0" xfId="0" applyFont="1" applyFill="1" applyAlignment="1">
      <alignment horizontal="center"/>
    </xf>
    <xf numFmtId="0" fontId="1" fillId="14" borderId="27" xfId="1" applyFill="1" applyBorder="1" applyAlignment="1" applyProtection="1">
      <alignment horizontal="center" vertical="center" wrapText="1"/>
    </xf>
    <xf numFmtId="0" fontId="1" fillId="14" borderId="65" xfId="1" applyFill="1" applyBorder="1" applyAlignment="1" applyProtection="1">
      <alignment horizontal="center" vertical="center" wrapText="1"/>
    </xf>
    <xf numFmtId="0" fontId="37" fillId="14" borderId="49" xfId="1" applyFont="1" applyFill="1" applyBorder="1" applyAlignment="1" applyProtection="1">
      <alignment horizontal="center" vertical="center" wrapText="1"/>
      <protection locked="0"/>
    </xf>
    <xf numFmtId="0" fontId="37" fillId="14" borderId="4" xfId="1" applyFont="1" applyFill="1" applyBorder="1" applyAlignment="1" applyProtection="1">
      <alignment horizontal="center" vertical="center" wrapText="1"/>
      <protection locked="0"/>
    </xf>
    <xf numFmtId="0" fontId="37" fillId="14" borderId="36" xfId="1" applyFont="1" applyFill="1" applyBorder="1" applyAlignment="1" applyProtection="1">
      <alignment horizontal="center" vertical="center" wrapText="1"/>
    </xf>
    <xf numFmtId="0" fontId="0" fillId="3" borderId="0" xfId="0" applyFill="1" applyAlignment="1" applyProtection="1">
      <alignment horizontal="center" vertical="center"/>
      <protection locked="0"/>
    </xf>
    <xf numFmtId="166" fontId="0" fillId="3" borderId="0" xfId="0" applyNumberFormat="1" applyFill="1" applyAlignment="1" applyProtection="1">
      <alignment horizontal="center"/>
      <protection locked="0"/>
    </xf>
    <xf numFmtId="166" fontId="0" fillId="3" borderId="0" xfId="0" applyNumberFormat="1" applyFill="1" applyProtection="1">
      <protection locked="0"/>
    </xf>
    <xf numFmtId="166" fontId="11" fillId="13" borderId="3" xfId="10" applyNumberFormat="1" applyFont="1" applyFill="1" applyBorder="1" applyAlignment="1" applyProtection="1">
      <alignment horizontal="center"/>
    </xf>
    <xf numFmtId="166" fontId="11" fillId="13" borderId="3" xfId="10" applyNumberFormat="1" applyFont="1" applyFill="1" applyBorder="1" applyAlignment="1" applyProtection="1">
      <alignment horizontal="center"/>
      <protection locked="0"/>
    </xf>
    <xf numFmtId="0" fontId="35" fillId="14" borderId="21" xfId="0" applyFont="1" applyFill="1" applyBorder="1" applyAlignment="1">
      <alignment horizontal="center" vertical="center"/>
    </xf>
    <xf numFmtId="0" fontId="35" fillId="14" borderId="22" xfId="0" applyFont="1" applyFill="1" applyBorder="1" applyAlignment="1">
      <alignment horizontal="center" vertical="center"/>
    </xf>
    <xf numFmtId="0" fontId="35" fillId="14" borderId="17" xfId="0" applyFont="1" applyFill="1" applyBorder="1" applyAlignment="1">
      <alignment horizontal="center" vertical="center"/>
    </xf>
    <xf numFmtId="0" fontId="35" fillId="14" borderId="49" xfId="0" applyFont="1" applyFill="1" applyBorder="1" applyAlignment="1">
      <alignment horizontal="center" vertical="center"/>
    </xf>
    <xf numFmtId="0" fontId="41" fillId="0" borderId="0" xfId="0" applyFont="1"/>
    <xf numFmtId="0" fontId="24" fillId="20" borderId="0" xfId="0" applyFont="1" applyFill="1"/>
    <xf numFmtId="0" fontId="42" fillId="14" borderId="49" xfId="1" applyFont="1" applyFill="1" applyBorder="1" applyAlignment="1">
      <alignment horizontal="center" vertical="center" wrapText="1"/>
    </xf>
    <xf numFmtId="0" fontId="42" fillId="14" borderId="4" xfId="1" applyFont="1" applyFill="1" applyBorder="1" applyAlignment="1">
      <alignment horizontal="center" vertical="center" wrapText="1"/>
    </xf>
    <xf numFmtId="0" fontId="23" fillId="0" borderId="0" xfId="0" applyFont="1" applyAlignment="1" applyProtection="1">
      <alignment horizontal="center" vertical="center"/>
      <protection locked="0"/>
    </xf>
    <xf numFmtId="0" fontId="31" fillId="3" borderId="46" xfId="19" applyFont="1" applyFill="1" applyBorder="1" applyAlignment="1" applyProtection="1">
      <alignment vertical="center"/>
    </xf>
    <xf numFmtId="0" fontId="23" fillId="0" borderId="16" xfId="0" applyFont="1" applyBorder="1" applyAlignment="1" applyProtection="1">
      <alignment horizontal="center" vertical="center"/>
      <protection locked="0"/>
    </xf>
    <xf numFmtId="165" fontId="23" fillId="0" borderId="16" xfId="0" applyNumberFormat="1" applyFont="1" applyBorder="1" applyAlignment="1" applyProtection="1">
      <alignment horizontal="center" vertical="center"/>
      <protection locked="0"/>
    </xf>
    <xf numFmtId="0" fontId="25" fillId="0" borderId="16" xfId="20" applyFont="1" applyBorder="1" applyAlignment="1" applyProtection="1">
      <alignment horizontal="center"/>
    </xf>
    <xf numFmtId="0" fontId="25" fillId="0" borderId="85" xfId="20" applyFont="1" applyBorder="1" applyAlignment="1" applyProtection="1">
      <alignment horizontal="center"/>
    </xf>
    <xf numFmtId="0" fontId="43" fillId="14" borderId="0" xfId="0" applyFont="1" applyFill="1" applyAlignment="1">
      <alignment horizontal="center" vertical="center"/>
    </xf>
    <xf numFmtId="0" fontId="42" fillId="14" borderId="0" xfId="0" applyFont="1" applyFill="1" applyAlignment="1">
      <alignment horizontal="center" vertical="center"/>
    </xf>
    <xf numFmtId="0" fontId="42" fillId="14" borderId="18" xfId="0" applyFont="1" applyFill="1" applyBorder="1" applyAlignment="1">
      <alignment horizontal="center" vertical="center"/>
    </xf>
    <xf numFmtId="0" fontId="0" fillId="3" borderId="87" xfId="0" applyFill="1" applyBorder="1" applyAlignment="1">
      <alignment horizontal="center" vertical="center"/>
    </xf>
    <xf numFmtId="0" fontId="0" fillId="3" borderId="88" xfId="0" applyFill="1" applyBorder="1" applyAlignment="1">
      <alignment horizontal="center" vertical="center"/>
    </xf>
    <xf numFmtId="0" fontId="0" fillId="3" borderId="89" xfId="0" applyFill="1" applyBorder="1" applyAlignment="1">
      <alignment vertical="center" wrapText="1"/>
    </xf>
    <xf numFmtId="0" fontId="0" fillId="3" borderId="0" xfId="0" applyFill="1" applyAlignment="1">
      <alignment horizontal="center" vertical="center"/>
    </xf>
    <xf numFmtId="0" fontId="0" fillId="3" borderId="18" xfId="0" applyFill="1" applyBorder="1" applyAlignment="1">
      <alignment horizontal="center" vertical="center"/>
    </xf>
    <xf numFmtId="0" fontId="0" fillId="3" borderId="73" xfId="0" applyFill="1" applyBorder="1" applyAlignment="1">
      <alignment vertical="center" wrapText="1"/>
    </xf>
    <xf numFmtId="0" fontId="0" fillId="12" borderId="87" xfId="0" applyFill="1" applyBorder="1" applyAlignment="1">
      <alignment horizontal="center" vertical="center"/>
    </xf>
    <xf numFmtId="0" fontId="0" fillId="12" borderId="88" xfId="0" applyFill="1" applyBorder="1" applyAlignment="1">
      <alignment horizontal="center" vertical="center"/>
    </xf>
    <xf numFmtId="0" fontId="0" fillId="12" borderId="89" xfId="0" applyFill="1" applyBorder="1" applyAlignment="1">
      <alignment vertical="center" wrapText="1"/>
    </xf>
    <xf numFmtId="0" fontId="0" fillId="12" borderId="0" xfId="0" applyFill="1" applyAlignment="1">
      <alignment horizontal="center" vertical="center"/>
    </xf>
    <xf numFmtId="0" fontId="0" fillId="12" borderId="18" xfId="0" applyFill="1" applyBorder="1" applyAlignment="1">
      <alignment horizontal="center" vertical="center"/>
    </xf>
    <xf numFmtId="0" fontId="0" fillId="12" borderId="73" xfId="0" applyFill="1" applyBorder="1" applyAlignment="1">
      <alignment vertical="center" wrapText="1"/>
    </xf>
    <xf numFmtId="0" fontId="0" fillId="3" borderId="89" xfId="0" applyFill="1" applyBorder="1" applyAlignment="1">
      <alignment vertical="center"/>
    </xf>
    <xf numFmtId="0" fontId="0" fillId="3" borderId="73" xfId="0" applyFill="1" applyBorder="1" applyAlignment="1">
      <alignment vertical="center"/>
    </xf>
    <xf numFmtId="0" fontId="0" fillId="12" borderId="14" xfId="0" applyFill="1" applyBorder="1" applyAlignment="1">
      <alignment horizontal="center" vertical="center"/>
    </xf>
    <xf numFmtId="0" fontId="0" fillId="12" borderId="55" xfId="0" applyFill="1" applyBorder="1" applyAlignment="1">
      <alignment horizontal="center" vertical="center"/>
    </xf>
    <xf numFmtId="0" fontId="0" fillId="12" borderId="90" xfId="0" applyFill="1" applyBorder="1" applyAlignment="1">
      <alignment vertical="center" wrapText="1"/>
    </xf>
    <xf numFmtId="0" fontId="0" fillId="3" borderId="88" xfId="0" applyFill="1" applyBorder="1" applyAlignment="1">
      <alignment horizontal="center" vertical="center" wrapText="1"/>
    </xf>
    <xf numFmtId="0" fontId="0" fillId="3" borderId="0" xfId="0" applyFill="1" applyAlignment="1">
      <alignment horizontal="center" vertical="center" wrapText="1"/>
    </xf>
    <xf numFmtId="0" fontId="0" fillId="3" borderId="87" xfId="0" applyFill="1" applyBorder="1" applyAlignment="1">
      <alignment horizontal="center" vertical="center" wrapText="1"/>
    </xf>
    <xf numFmtId="0" fontId="0" fillId="12" borderId="88" xfId="0" applyFill="1" applyBorder="1" applyAlignment="1">
      <alignment horizontal="center" vertical="center" wrapText="1"/>
    </xf>
    <xf numFmtId="0" fontId="0" fillId="12" borderId="89" xfId="0" applyFill="1" applyBorder="1" applyAlignment="1">
      <alignment vertical="center"/>
    </xf>
    <xf numFmtId="0" fontId="0" fillId="12" borderId="0" xfId="0" applyFill="1" applyAlignment="1">
      <alignment horizontal="center" vertical="center" wrapText="1"/>
    </xf>
    <xf numFmtId="0" fontId="0" fillId="12" borderId="18" xfId="0" applyFill="1" applyBorder="1" applyAlignment="1">
      <alignment horizontal="center" vertical="center" wrapText="1"/>
    </xf>
    <xf numFmtId="0" fontId="0" fillId="12" borderId="73" xfId="0" applyFill="1" applyBorder="1" applyAlignment="1">
      <alignment vertical="center"/>
    </xf>
    <xf numFmtId="0" fontId="0" fillId="3" borderId="14" xfId="0" applyFill="1" applyBorder="1" applyAlignment="1">
      <alignment horizontal="center" vertical="center" wrapText="1"/>
    </xf>
    <xf numFmtId="0" fontId="0" fillId="3" borderId="55" xfId="0" applyFill="1" applyBorder="1" applyAlignment="1">
      <alignment horizontal="center" vertical="center"/>
    </xf>
    <xf numFmtId="0" fontId="0" fillId="3" borderId="14" xfId="0" applyFill="1" applyBorder="1" applyAlignment="1">
      <alignment horizontal="center" vertical="center"/>
    </xf>
    <xf numFmtId="0" fontId="0" fillId="3" borderId="90" xfId="0" applyFill="1" applyBorder="1" applyAlignment="1">
      <alignment vertical="center"/>
    </xf>
    <xf numFmtId="0" fontId="12" fillId="3" borderId="11" xfId="0" applyFont="1" applyFill="1" applyBorder="1" applyAlignment="1">
      <alignment vertical="center"/>
    </xf>
    <xf numFmtId="0" fontId="12" fillId="3" borderId="0" xfId="0" applyFont="1" applyFill="1" applyAlignment="1">
      <alignment vertical="center"/>
    </xf>
    <xf numFmtId="0" fontId="12" fillId="3" borderId="14" xfId="0" applyFont="1" applyFill="1" applyBorder="1" applyAlignment="1">
      <alignment vertical="center"/>
    </xf>
    <xf numFmtId="0" fontId="24" fillId="0" borderId="0" xfId="0" applyFont="1" applyAlignment="1">
      <alignment horizontal="center" vertical="center"/>
    </xf>
    <xf numFmtId="0" fontId="24" fillId="0" borderId="0" xfId="0" applyFont="1" applyAlignment="1">
      <alignment horizontal="left" vertical="center" wrapText="1" readingOrder="1"/>
    </xf>
    <xf numFmtId="0" fontId="48" fillId="0" borderId="0" xfId="0" applyFont="1" applyAlignment="1">
      <alignment horizontal="center" vertical="center" wrapText="1"/>
    </xf>
    <xf numFmtId="0" fontId="48" fillId="0" borderId="0" xfId="0" applyFont="1" applyAlignment="1">
      <alignment horizontal="center" vertical="center"/>
    </xf>
    <xf numFmtId="0" fontId="52" fillId="0" borderId="0" xfId="0" applyFont="1" applyAlignment="1">
      <alignment vertical="center"/>
    </xf>
    <xf numFmtId="0" fontId="0" fillId="0" borderId="21" xfId="0" applyBorder="1"/>
    <xf numFmtId="0" fontId="0" fillId="0" borderId="17" xfId="0" applyBorder="1"/>
    <xf numFmtId="0" fontId="23" fillId="0" borderId="21" xfId="0" applyFont="1" applyBorder="1" applyAlignment="1" applyProtection="1">
      <alignment horizontal="center" vertical="center"/>
      <protection locked="0"/>
    </xf>
    <xf numFmtId="0" fontId="23" fillId="0" borderId="17" xfId="0" applyFont="1" applyBorder="1" applyAlignment="1" applyProtection="1">
      <alignment horizontal="center" vertical="center"/>
      <protection locked="0"/>
    </xf>
    <xf numFmtId="0" fontId="23" fillId="0" borderId="49" xfId="0" applyFont="1" applyBorder="1" applyAlignment="1" applyProtection="1">
      <alignment horizontal="center" vertical="center"/>
      <protection locked="0"/>
    </xf>
    <xf numFmtId="0" fontId="23" fillId="0" borderId="22" xfId="0" applyFont="1" applyBorder="1" applyAlignment="1" applyProtection="1">
      <alignment horizontal="center" vertical="center"/>
      <protection locked="0"/>
    </xf>
    <xf numFmtId="0" fontId="25" fillId="0" borderId="21" xfId="20" applyFont="1" applyBorder="1" applyAlignment="1" applyProtection="1">
      <alignment horizontal="center"/>
    </xf>
    <xf numFmtId="0" fontId="25" fillId="0" borderId="22" xfId="20" applyFont="1" applyBorder="1" applyAlignment="1" applyProtection="1">
      <alignment horizontal="center"/>
    </xf>
    <xf numFmtId="0" fontId="25" fillId="0" borderId="17" xfId="20" applyFont="1" applyBorder="1" applyAlignment="1" applyProtection="1">
      <alignment horizontal="center"/>
    </xf>
    <xf numFmtId="0" fontId="25" fillId="0" borderId="49" xfId="20" applyFont="1" applyBorder="1" applyAlignment="1" applyProtection="1">
      <alignment horizontal="center"/>
    </xf>
    <xf numFmtId="0" fontId="25" fillId="0" borderId="35" xfId="20" applyFont="1" applyBorder="1" applyAlignment="1" applyProtection="1">
      <alignment horizontal="center"/>
    </xf>
    <xf numFmtId="0" fontId="25" fillId="0" borderId="79" xfId="20" applyFont="1" applyBorder="1" applyAlignment="1" applyProtection="1">
      <alignment horizontal="center"/>
    </xf>
    <xf numFmtId="0" fontId="12" fillId="10" borderId="0" xfId="0" applyFont="1" applyFill="1"/>
    <xf numFmtId="164" fontId="0" fillId="10" borderId="0" xfId="0" applyNumberFormat="1" applyFill="1" applyAlignment="1">
      <alignment horizontal="right"/>
    </xf>
    <xf numFmtId="0" fontId="0" fillId="10" borderId="0" xfId="0" applyFill="1" applyAlignment="1">
      <alignment horizontal="center"/>
    </xf>
    <xf numFmtId="0" fontId="24" fillId="0" borderId="14" xfId="0" applyFont="1" applyBorder="1" applyAlignment="1">
      <alignment horizontal="center"/>
    </xf>
    <xf numFmtId="0" fontId="36" fillId="14" borderId="78" xfId="0" applyFont="1" applyFill="1" applyBorder="1" applyAlignment="1">
      <alignment horizontal="center" vertical="center" wrapText="1"/>
    </xf>
    <xf numFmtId="0" fontId="24" fillId="0" borderId="21" xfId="0" applyFont="1" applyBorder="1" applyAlignment="1">
      <alignment horizontal="center"/>
    </xf>
    <xf numFmtId="0" fontId="24" fillId="0" borderId="0" xfId="0" applyFont="1" applyAlignment="1">
      <alignment horizontal="center"/>
    </xf>
    <xf numFmtId="0" fontId="29" fillId="3" borderId="0" xfId="20" applyFont="1" applyFill="1" applyBorder="1" applyAlignment="1" applyProtection="1">
      <alignment horizontal="center"/>
      <protection locked="0"/>
    </xf>
    <xf numFmtId="0" fontId="29" fillId="3" borderId="14" xfId="20" applyFont="1" applyFill="1" applyBorder="1" applyAlignment="1" applyProtection="1">
      <alignment horizontal="center"/>
      <protection locked="0"/>
    </xf>
    <xf numFmtId="0" fontId="28" fillId="3" borderId="21" xfId="22" applyFont="1" applyFill="1" applyBorder="1" applyAlignment="1" applyProtection="1">
      <alignment horizontal="center" wrapText="1"/>
      <protection locked="0"/>
    </xf>
    <xf numFmtId="0" fontId="28" fillId="3" borderId="0" xfId="22" applyFont="1" applyFill="1" applyBorder="1" applyAlignment="1" applyProtection="1">
      <alignment horizontal="center" vertical="center" wrapText="1"/>
      <protection locked="0"/>
    </xf>
    <xf numFmtId="0" fontId="28" fillId="3" borderId="0" xfId="22" applyFont="1" applyFill="1" applyBorder="1" applyAlignment="1" applyProtection="1">
      <alignment horizontal="center" wrapText="1"/>
      <protection locked="0"/>
    </xf>
    <xf numFmtId="0" fontId="28" fillId="3" borderId="17" xfId="22" applyFont="1" applyFill="1" applyBorder="1" applyAlignment="1" applyProtection="1">
      <alignment horizontal="center" wrapText="1"/>
      <protection locked="0"/>
    </xf>
    <xf numFmtId="0" fontId="29" fillId="3" borderId="21" xfId="20" applyFont="1" applyFill="1" applyBorder="1" applyProtection="1">
      <alignment horizontal="center" vertical="center"/>
      <protection locked="0"/>
    </xf>
    <xf numFmtId="0" fontId="29" fillId="3" borderId="0" xfId="20" applyFont="1" applyFill="1" applyBorder="1" applyProtection="1">
      <alignment horizontal="center" vertical="center"/>
      <protection locked="0"/>
    </xf>
    <xf numFmtId="0" fontId="29" fillId="3" borderId="17" xfId="20" applyFont="1" applyFill="1" applyBorder="1" applyProtection="1">
      <alignment horizontal="center" vertical="center"/>
      <protection locked="0"/>
    </xf>
    <xf numFmtId="0" fontId="28" fillId="3" borderId="21" xfId="22" applyFont="1" applyFill="1" applyBorder="1" applyAlignment="1" applyProtection="1">
      <alignment horizontal="center" vertical="center" wrapText="1"/>
      <protection locked="0"/>
    </xf>
    <xf numFmtId="0" fontId="0" fillId="0" borderId="17" xfId="0" applyBorder="1" applyAlignment="1">
      <alignment horizontal="center"/>
    </xf>
    <xf numFmtId="0" fontId="0" fillId="3" borderId="21" xfId="0" applyFill="1" applyBorder="1" applyAlignment="1">
      <alignment horizontal="center"/>
    </xf>
    <xf numFmtId="0" fontId="0" fillId="3" borderId="0" xfId="0" applyFill="1" applyAlignment="1">
      <alignment horizontal="center"/>
    </xf>
    <xf numFmtId="0" fontId="0" fillId="3" borderId="14" xfId="0" applyFill="1" applyBorder="1" applyAlignment="1">
      <alignment horizontal="center"/>
    </xf>
    <xf numFmtId="0" fontId="53" fillId="0" borderId="20" xfId="5" applyFont="1" applyBorder="1" applyAlignment="1">
      <alignment vertical="center" wrapText="1"/>
    </xf>
    <xf numFmtId="0" fontId="53" fillId="0" borderId="78" xfId="5" applyFont="1" applyBorder="1" applyAlignment="1">
      <alignment horizontal="left" vertical="center" wrapText="1"/>
    </xf>
    <xf numFmtId="0" fontId="53" fillId="0" borderId="20" xfId="5" applyFont="1" applyBorder="1" applyAlignment="1">
      <alignment horizontal="left" vertical="center" wrapText="1"/>
    </xf>
    <xf numFmtId="0" fontId="53" fillId="0" borderId="21" xfId="5" applyFont="1" applyBorder="1" applyAlignment="1">
      <alignment horizontal="left" vertical="center" wrapText="1"/>
    </xf>
    <xf numFmtId="0" fontId="53" fillId="0" borderId="86" xfId="5" applyFont="1" applyBorder="1" applyAlignment="1">
      <alignment horizontal="left" vertical="center" wrapText="1"/>
    </xf>
    <xf numFmtId="165" fontId="45" fillId="0" borderId="20" xfId="0" applyNumberFormat="1" applyFont="1" applyBorder="1" applyAlignment="1">
      <alignment horizontal="center" vertical="center"/>
    </xf>
    <xf numFmtId="165" fontId="45" fillId="0" borderId="21" xfId="0" applyNumberFormat="1" applyFont="1" applyBorder="1" applyAlignment="1">
      <alignment horizontal="center" vertical="center"/>
    </xf>
    <xf numFmtId="0" fontId="53" fillId="0" borderId="46" xfId="5" applyFont="1" applyBorder="1" applyAlignment="1">
      <alignment vertical="center" wrapText="1"/>
    </xf>
    <xf numFmtId="165" fontId="45" fillId="0" borderId="11" xfId="0" applyNumberFormat="1" applyFont="1" applyBorder="1" applyAlignment="1">
      <alignment horizontal="center" vertical="center"/>
    </xf>
    <xf numFmtId="0" fontId="53" fillId="0" borderId="19" xfId="5" applyFont="1" applyBorder="1" applyAlignment="1">
      <alignment vertical="center" wrapText="1"/>
    </xf>
    <xf numFmtId="0" fontId="53" fillId="0" borderId="22" xfId="5" applyFont="1" applyBorder="1" applyAlignment="1">
      <alignment vertical="center" wrapText="1"/>
    </xf>
    <xf numFmtId="165" fontId="45" fillId="0" borderId="78" xfId="0" applyNumberFormat="1" applyFont="1" applyBorder="1" applyAlignment="1">
      <alignment horizontal="center" vertical="center"/>
    </xf>
    <xf numFmtId="165" fontId="45" fillId="0" borderId="86" xfId="0" applyNumberFormat="1" applyFont="1" applyBorder="1" applyAlignment="1">
      <alignment horizontal="center" vertical="center"/>
    </xf>
    <xf numFmtId="0" fontId="53" fillId="0" borderId="54" xfId="5" applyFont="1" applyBorder="1" applyAlignment="1">
      <alignment vertical="center" wrapText="1"/>
    </xf>
    <xf numFmtId="165" fontId="45" fillId="0" borderId="14" xfId="0" applyNumberFormat="1" applyFont="1" applyBorder="1" applyAlignment="1">
      <alignment horizontal="center" vertical="center"/>
    </xf>
    <xf numFmtId="0" fontId="54" fillId="0" borderId="0" xfId="0" applyFont="1"/>
    <xf numFmtId="1" fontId="54" fillId="3" borderId="71" xfId="0" applyNumberFormat="1" applyFont="1" applyFill="1" applyBorder="1" applyAlignment="1">
      <alignment horizontal="center" vertical="center"/>
    </xf>
    <xf numFmtId="0" fontId="54" fillId="0" borderId="21" xfId="0" applyFont="1" applyBorder="1"/>
    <xf numFmtId="1" fontId="54" fillId="3" borderId="51" xfId="0" applyNumberFormat="1" applyFont="1" applyFill="1" applyBorder="1" applyAlignment="1">
      <alignment horizontal="center" vertical="center"/>
    </xf>
    <xf numFmtId="0" fontId="54" fillId="0" borderId="17" xfId="0" applyFont="1" applyBorder="1"/>
    <xf numFmtId="1" fontId="54" fillId="3" borderId="58" xfId="0" applyNumberFormat="1" applyFont="1" applyFill="1" applyBorder="1" applyAlignment="1">
      <alignment horizontal="center" vertical="center"/>
    </xf>
    <xf numFmtId="0" fontId="28" fillId="3" borderId="11" xfId="22" applyFont="1" applyFill="1" applyBorder="1" applyAlignment="1" applyProtection="1">
      <alignment horizontal="center" wrapText="1"/>
      <protection locked="0"/>
    </xf>
    <xf numFmtId="0" fontId="29" fillId="3" borderId="12" xfId="20" applyFont="1" applyFill="1" applyBorder="1" applyProtection="1">
      <alignment horizontal="center" vertical="center"/>
      <protection locked="0"/>
    </xf>
    <xf numFmtId="0" fontId="29" fillId="3" borderId="13" xfId="20" applyFont="1" applyFill="1" applyBorder="1" applyProtection="1">
      <alignment horizontal="center" vertical="center"/>
      <protection locked="0"/>
    </xf>
    <xf numFmtId="0" fontId="29" fillId="3" borderId="79" xfId="20" applyFont="1" applyFill="1" applyBorder="1" applyProtection="1">
      <alignment horizontal="center" vertical="center"/>
      <protection locked="0"/>
    </xf>
    <xf numFmtId="0" fontId="29" fillId="3" borderId="35" xfId="20" applyFont="1" applyFill="1" applyBorder="1" applyProtection="1">
      <alignment horizontal="center" vertical="center"/>
      <protection locked="0"/>
    </xf>
    <xf numFmtId="0" fontId="29" fillId="3" borderId="15" xfId="20" applyFont="1" applyFill="1" applyBorder="1" applyProtection="1">
      <alignment horizontal="center" vertical="center"/>
      <protection locked="0"/>
    </xf>
    <xf numFmtId="0" fontId="29" fillId="3" borderId="13" xfId="20" applyFont="1" applyFill="1" applyBorder="1" applyAlignment="1" applyProtection="1">
      <alignment horizontal="center"/>
      <protection locked="0"/>
    </xf>
    <xf numFmtId="0" fontId="29" fillId="3" borderId="15" xfId="20" applyFont="1" applyFill="1" applyBorder="1" applyAlignment="1" applyProtection="1">
      <alignment horizontal="center"/>
      <protection locked="0"/>
    </xf>
    <xf numFmtId="1" fontId="23" fillId="0" borderId="21" xfId="0" applyNumberFormat="1" applyFont="1" applyBorder="1" applyAlignment="1" applyProtection="1">
      <alignment horizontal="center" vertical="center"/>
      <protection locked="0"/>
    </xf>
    <xf numFmtId="1" fontId="54" fillId="3" borderId="0" xfId="0" applyNumberFormat="1" applyFont="1" applyFill="1" applyAlignment="1">
      <alignment horizontal="center" vertical="center"/>
    </xf>
    <xf numFmtId="165" fontId="45" fillId="0" borderId="0" xfId="0" applyNumberFormat="1" applyFont="1" applyAlignment="1">
      <alignment horizontal="center" vertical="center"/>
    </xf>
    <xf numFmtId="165" fontId="23" fillId="0" borderId="0" xfId="0" applyNumberFormat="1" applyFont="1" applyAlignment="1" applyProtection="1">
      <alignment horizontal="center" vertical="center"/>
      <protection locked="0"/>
    </xf>
    <xf numFmtId="0" fontId="24" fillId="3" borderId="0" xfId="0" applyFont="1" applyFill="1" applyAlignment="1">
      <alignment horizontal="center"/>
    </xf>
    <xf numFmtId="0" fontId="29" fillId="3" borderId="11" xfId="20" applyFont="1" applyFill="1" applyBorder="1" applyProtection="1">
      <alignment horizontal="center" vertical="center"/>
      <protection locked="0"/>
    </xf>
    <xf numFmtId="0" fontId="29" fillId="3" borderId="14" xfId="20" applyFont="1" applyFill="1" applyBorder="1" applyProtection="1">
      <alignment horizontal="center" vertical="center"/>
      <protection locked="0"/>
    </xf>
    <xf numFmtId="0" fontId="59" fillId="19" borderId="19" xfId="0" applyFont="1" applyFill="1" applyBorder="1" applyAlignment="1">
      <alignment horizontal="left" vertical="center" wrapText="1"/>
    </xf>
    <xf numFmtId="0" fontId="59" fillId="19" borderId="16" xfId="0" applyFont="1" applyFill="1" applyBorder="1" applyAlignment="1">
      <alignment horizontal="left" vertical="center" wrapText="1"/>
    </xf>
    <xf numFmtId="0" fontId="44" fillId="0" borderId="19" xfId="0" applyFont="1" applyBorder="1" applyAlignment="1">
      <alignment horizontal="center" vertical="center" wrapText="1"/>
    </xf>
    <xf numFmtId="0" fontId="44" fillId="0" borderId="1" xfId="0" applyFont="1" applyBorder="1" applyAlignment="1">
      <alignment vertical="center" wrapText="1"/>
    </xf>
    <xf numFmtId="0" fontId="44" fillId="0" borderId="1" xfId="0" applyFont="1" applyBorder="1" applyAlignment="1">
      <alignment horizontal="center" vertical="center" wrapText="1"/>
    </xf>
    <xf numFmtId="0" fontId="0" fillId="3" borderId="0" xfId="0" applyFill="1" applyAlignment="1">
      <alignment wrapText="1"/>
    </xf>
    <xf numFmtId="0" fontId="51" fillId="3" borderId="0" xfId="0" applyFont="1" applyFill="1" applyAlignment="1">
      <alignment horizontal="center"/>
    </xf>
    <xf numFmtId="0" fontId="12" fillId="0" borderId="1" xfId="0" applyFont="1" applyBorder="1" applyAlignment="1" applyProtection="1">
      <alignment horizontal="center" vertical="center" wrapText="1"/>
      <protection locked="0"/>
    </xf>
    <xf numFmtId="0" fontId="29" fillId="3" borderId="51" xfId="22" applyFont="1" applyFill="1" applyBorder="1" applyProtection="1">
      <alignment horizontal="left" wrapText="1"/>
      <protection locked="0"/>
    </xf>
    <xf numFmtId="0" fontId="29" fillId="3" borderId="0" xfId="22" applyFont="1" applyFill="1" applyBorder="1" applyProtection="1">
      <alignment horizontal="left" wrapText="1"/>
      <protection locked="0"/>
    </xf>
    <xf numFmtId="0" fontId="30" fillId="0" borderId="3" xfId="19" applyFont="1" applyBorder="1" applyAlignment="1" applyProtection="1">
      <alignment horizontal="center" vertical="center"/>
    </xf>
    <xf numFmtId="0" fontId="30" fillId="0" borderId="20" xfId="19" applyFont="1" applyBorder="1" applyAlignment="1" applyProtection="1">
      <alignment horizontal="center" vertical="center"/>
    </xf>
    <xf numFmtId="0" fontId="30" fillId="0" borderId="19" xfId="19" applyFont="1" applyBorder="1" applyAlignment="1" applyProtection="1">
      <alignment horizontal="center" vertical="center"/>
    </xf>
    <xf numFmtId="0" fontId="32" fillId="0" borderId="3" xfId="19" applyFont="1" applyBorder="1" applyAlignment="1" applyProtection="1">
      <alignment horizontal="center" vertical="center"/>
    </xf>
    <xf numFmtId="0" fontId="32" fillId="0" borderId="20" xfId="19" applyFont="1" applyBorder="1" applyAlignment="1" applyProtection="1">
      <alignment horizontal="center" vertical="center"/>
    </xf>
    <xf numFmtId="0" fontId="32" fillId="0" borderId="19" xfId="19" applyFont="1" applyBorder="1" applyAlignment="1" applyProtection="1">
      <alignment horizontal="center" vertical="center"/>
    </xf>
    <xf numFmtId="0" fontId="53" fillId="0" borderId="78" xfId="5" applyFont="1" applyBorder="1" applyAlignment="1">
      <alignment horizontal="left" vertical="center" wrapText="1"/>
    </xf>
    <xf numFmtId="0" fontId="53" fillId="0" borderId="20" xfId="5" applyFont="1" applyBorder="1" applyAlignment="1">
      <alignment horizontal="left" vertical="center" wrapText="1"/>
    </xf>
    <xf numFmtId="0" fontId="55" fillId="14" borderId="1" xfId="0" applyFont="1" applyFill="1" applyBorder="1" applyAlignment="1">
      <alignment horizontal="center" vertical="center" textRotation="90" wrapText="1"/>
    </xf>
    <xf numFmtId="0" fontId="55" fillId="14" borderId="39" xfId="0" applyFont="1" applyFill="1" applyBorder="1" applyAlignment="1">
      <alignment horizontal="center" vertical="center" textRotation="90" wrapText="1"/>
    </xf>
    <xf numFmtId="0" fontId="56" fillId="14" borderId="81" xfId="15" applyFont="1" applyFill="1" applyBorder="1" applyAlignment="1" applyProtection="1">
      <alignment horizontal="center" vertical="center" textRotation="90" wrapText="1"/>
    </xf>
    <xf numFmtId="0" fontId="56" fillId="14" borderId="73" xfId="15" applyFont="1" applyFill="1" applyBorder="1" applyAlignment="1" applyProtection="1">
      <alignment horizontal="center" vertical="center" textRotation="90" wrapText="1"/>
    </xf>
    <xf numFmtId="0" fontId="36" fillId="14" borderId="64" xfId="0" applyFont="1" applyFill="1" applyBorder="1" applyAlignment="1">
      <alignment horizontal="center" vertical="center" wrapText="1"/>
    </xf>
    <xf numFmtId="0" fontId="36" fillId="14" borderId="78" xfId="0" applyFont="1" applyFill="1" applyBorder="1" applyAlignment="1">
      <alignment horizontal="center" vertical="center" wrapText="1"/>
    </xf>
    <xf numFmtId="0" fontId="36" fillId="14" borderId="46" xfId="0" applyFont="1" applyFill="1" applyBorder="1" applyAlignment="1">
      <alignment horizontal="center" vertical="center" wrapText="1"/>
    </xf>
    <xf numFmtId="0" fontId="24" fillId="0" borderId="33"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18" xfId="0" applyFont="1" applyBorder="1" applyAlignment="1">
      <alignment horizontal="center"/>
    </xf>
    <xf numFmtId="0" fontId="24" fillId="0" borderId="0" xfId="0" applyFont="1" applyAlignment="1">
      <alignment horizontal="center"/>
    </xf>
    <xf numFmtId="0" fontId="24" fillId="0" borderId="16" xfId="0" applyFont="1" applyBorder="1" applyAlignment="1">
      <alignment horizontal="center"/>
    </xf>
    <xf numFmtId="165" fontId="24" fillId="3" borderId="18" xfId="0" applyNumberFormat="1" applyFont="1" applyFill="1" applyBorder="1" applyAlignment="1">
      <alignment horizontal="center"/>
    </xf>
    <xf numFmtId="165" fontId="24" fillId="3" borderId="0" xfId="0" applyNumberFormat="1" applyFont="1" applyFill="1" applyAlignment="1">
      <alignment horizontal="center"/>
    </xf>
    <xf numFmtId="165" fontId="24" fillId="3" borderId="16" xfId="0" applyNumberFormat="1" applyFont="1" applyFill="1" applyBorder="1" applyAlignment="1">
      <alignment horizontal="center"/>
    </xf>
    <xf numFmtId="165" fontId="24" fillId="3" borderId="55" xfId="0" applyNumberFormat="1" applyFont="1" applyFill="1" applyBorder="1" applyAlignment="1">
      <alignment horizontal="center"/>
    </xf>
    <xf numFmtId="165" fontId="24" fillId="3" borderId="14" xfId="0" applyNumberFormat="1" applyFont="1" applyFill="1" applyBorder="1" applyAlignment="1">
      <alignment horizontal="center"/>
    </xf>
    <xf numFmtId="165" fontId="24" fillId="3" borderId="85" xfId="0" applyNumberFormat="1" applyFont="1" applyFill="1" applyBorder="1" applyAlignment="1">
      <alignment horizontal="center"/>
    </xf>
    <xf numFmtId="0" fontId="3" fillId="10" borderId="0" xfId="0" applyFont="1" applyFill="1" applyAlignment="1">
      <alignment horizontal="center" wrapText="1"/>
    </xf>
    <xf numFmtId="0" fontId="38" fillId="14" borderId="58" xfId="0" applyFont="1" applyFill="1" applyBorder="1" applyAlignment="1">
      <alignment horizontal="right"/>
    </xf>
    <xf numFmtId="0" fontId="38" fillId="14" borderId="14" xfId="0" applyFont="1" applyFill="1" applyBorder="1" applyAlignment="1">
      <alignment horizontal="right"/>
    </xf>
    <xf numFmtId="0" fontId="38" fillId="14" borderId="85" xfId="0" applyFont="1" applyFill="1" applyBorder="1" applyAlignment="1">
      <alignment horizontal="right"/>
    </xf>
    <xf numFmtId="0" fontId="1" fillId="14" borderId="78" xfId="0" applyFont="1" applyFill="1" applyBorder="1" applyAlignment="1">
      <alignment horizontal="center" vertical="center" wrapText="1"/>
    </xf>
    <xf numFmtId="0" fontId="1" fillId="14" borderId="46" xfId="0" applyFont="1" applyFill="1" applyBorder="1" applyAlignment="1">
      <alignment horizontal="center" vertical="center" wrapText="1"/>
    </xf>
    <xf numFmtId="0" fontId="24" fillId="0" borderId="55" xfId="0" applyFont="1" applyBorder="1" applyAlignment="1">
      <alignment horizontal="center"/>
    </xf>
    <xf numFmtId="0" fontId="24" fillId="0" borderId="14" xfId="0" applyFont="1" applyBorder="1" applyAlignment="1">
      <alignment horizontal="center"/>
    </xf>
    <xf numFmtId="0" fontId="24" fillId="0" borderId="85" xfId="0" applyFont="1" applyBorder="1" applyAlignment="1">
      <alignment horizontal="center"/>
    </xf>
    <xf numFmtId="0" fontId="12" fillId="3" borderId="11" xfId="0" applyFont="1" applyFill="1" applyBorder="1" applyAlignment="1">
      <alignment horizontal="center" vertical="center"/>
    </xf>
    <xf numFmtId="0" fontId="12" fillId="3" borderId="0" xfId="0" applyFont="1" applyFill="1" applyAlignment="1">
      <alignment horizontal="center" vertical="center"/>
    </xf>
    <xf numFmtId="0" fontId="12" fillId="3" borderId="14" xfId="0" applyFont="1" applyFill="1" applyBorder="1" applyAlignment="1">
      <alignment horizontal="center" vertical="center"/>
    </xf>
    <xf numFmtId="0" fontId="55" fillId="14" borderId="33" xfId="5" applyFont="1" applyFill="1" applyBorder="1" applyAlignment="1">
      <alignment horizontal="center" vertical="center" wrapText="1"/>
    </xf>
    <xf numFmtId="0" fontId="55" fillId="14" borderId="21" xfId="5" applyFont="1" applyFill="1" applyBorder="1" applyAlignment="1">
      <alignment horizontal="center" vertical="center" wrapText="1"/>
    </xf>
    <xf numFmtId="0" fontId="55" fillId="14" borderId="22" xfId="5" applyFont="1" applyFill="1" applyBorder="1" applyAlignment="1">
      <alignment horizontal="center" vertical="center" wrapText="1"/>
    </xf>
    <xf numFmtId="0" fontId="55" fillId="14" borderId="36" xfId="5" applyFont="1" applyFill="1" applyBorder="1" applyAlignment="1">
      <alignment horizontal="center" vertical="center" wrapText="1"/>
    </xf>
    <xf numFmtId="0" fontId="55" fillId="14" borderId="17" xfId="5" applyFont="1" applyFill="1" applyBorder="1" applyAlignment="1">
      <alignment horizontal="center" vertical="center" wrapText="1"/>
    </xf>
    <xf numFmtId="0" fontId="55" fillId="14" borderId="49" xfId="5" applyFont="1" applyFill="1" applyBorder="1" applyAlignment="1">
      <alignment horizontal="center" vertical="center" wrapText="1"/>
    </xf>
    <xf numFmtId="0" fontId="38" fillId="14" borderId="51" xfId="0" applyFont="1" applyFill="1" applyBorder="1" applyAlignment="1">
      <alignment horizontal="right"/>
    </xf>
    <xf numFmtId="0" fontId="38" fillId="14" borderId="0" xfId="0" applyFont="1" applyFill="1" applyAlignment="1">
      <alignment horizontal="right"/>
    </xf>
    <xf numFmtId="0" fontId="38" fillId="14" borderId="16" xfId="0" applyFont="1" applyFill="1" applyBorder="1" applyAlignment="1">
      <alignment horizontal="right"/>
    </xf>
    <xf numFmtId="0" fontId="53" fillId="0" borderId="21" xfId="5" applyFont="1" applyBorder="1" applyAlignment="1">
      <alignment horizontal="left" vertical="center" wrapText="1"/>
    </xf>
    <xf numFmtId="0" fontId="53" fillId="0" borderId="20" xfId="5" applyFont="1" applyBorder="1" applyAlignment="1">
      <alignment vertical="center" wrapText="1"/>
    </xf>
    <xf numFmtId="0" fontId="53" fillId="0" borderId="21" xfId="5" applyFont="1" applyBorder="1" applyAlignment="1">
      <alignment vertical="center" wrapText="1"/>
    </xf>
    <xf numFmtId="0" fontId="29" fillId="3" borderId="91" xfId="22" applyFont="1" applyFill="1" applyBorder="1" applyProtection="1">
      <alignment horizontal="left" wrapText="1"/>
      <protection locked="0"/>
    </xf>
    <xf numFmtId="0" fontId="29" fillId="3" borderId="17" xfId="22" applyFont="1" applyFill="1" applyBorder="1" applyProtection="1">
      <alignment horizontal="left" wrapText="1"/>
      <protection locked="0"/>
    </xf>
    <xf numFmtId="0" fontId="29" fillId="3" borderId="63" xfId="22" applyFont="1" applyFill="1" applyBorder="1" applyProtection="1">
      <alignment horizontal="left" wrapText="1"/>
      <protection locked="0"/>
    </xf>
    <xf numFmtId="0" fontId="29" fillId="3" borderId="21" xfId="22" applyFont="1" applyFill="1" applyBorder="1" applyProtection="1">
      <alignment horizontal="left" wrapText="1"/>
      <protection locked="0"/>
    </xf>
    <xf numFmtId="0" fontId="29" fillId="3" borderId="58" xfId="22" applyFont="1" applyFill="1" applyBorder="1" applyProtection="1">
      <alignment horizontal="left" wrapText="1"/>
      <protection locked="0"/>
    </xf>
    <xf numFmtId="0" fontId="29" fillId="3" borderId="14" xfId="22" applyFont="1" applyFill="1" applyBorder="1" applyProtection="1">
      <alignment horizontal="left" wrapText="1"/>
      <protection locked="0"/>
    </xf>
    <xf numFmtId="0" fontId="57" fillId="0" borderId="38" xfId="0" applyFont="1" applyBorder="1" applyAlignment="1">
      <alignment horizontal="center" vertical="center" textRotation="90" wrapText="1"/>
    </xf>
    <xf numFmtId="0" fontId="57" fillId="0" borderId="47" xfId="0" applyFont="1" applyBorder="1" applyAlignment="1">
      <alignment horizontal="center" vertical="center" textRotation="90" wrapText="1"/>
    </xf>
    <xf numFmtId="0" fontId="57" fillId="0" borderId="26" xfId="0" applyFont="1" applyBorder="1" applyAlignment="1">
      <alignment horizontal="center" vertical="center" textRotation="90" wrapText="1"/>
    </xf>
    <xf numFmtId="0" fontId="53" fillId="0" borderId="86" xfId="5" applyFont="1" applyBorder="1" applyAlignment="1">
      <alignment horizontal="left" vertical="center" wrapText="1"/>
    </xf>
    <xf numFmtId="0" fontId="49" fillId="3" borderId="0" xfId="0" applyFont="1" applyFill="1" applyAlignment="1">
      <alignment horizontal="center" vertical="center"/>
    </xf>
    <xf numFmtId="0" fontId="30" fillId="0" borderId="83" xfId="19" applyFont="1" applyBorder="1" applyAlignment="1" applyProtection="1">
      <alignment horizontal="center" vertical="center"/>
    </xf>
    <xf numFmtId="0" fontId="32" fillId="0" borderId="83" xfId="19" applyFont="1" applyBorder="1" applyAlignment="1" applyProtection="1">
      <alignment horizontal="center" vertical="center"/>
    </xf>
    <xf numFmtId="0" fontId="32" fillId="0" borderId="50" xfId="19" applyFont="1" applyBorder="1" applyAlignment="1" applyProtection="1">
      <alignment horizontal="center" vertical="center"/>
    </xf>
    <xf numFmtId="0" fontId="58" fillId="10" borderId="11" xfId="0" applyFont="1" applyFill="1" applyBorder="1" applyAlignment="1">
      <alignment horizontal="center"/>
    </xf>
    <xf numFmtId="0" fontId="58" fillId="10" borderId="12" xfId="0" applyFont="1" applyFill="1" applyBorder="1" applyAlignment="1">
      <alignment horizontal="center"/>
    </xf>
    <xf numFmtId="0" fontId="29" fillId="3" borderId="51" xfId="22" applyFont="1" applyFill="1" applyBorder="1" applyAlignment="1" applyProtection="1">
      <alignment horizontal="center" wrapText="1"/>
      <protection locked="0"/>
    </xf>
    <xf numFmtId="0" fontId="29" fillId="3" borderId="0" xfId="22" applyFont="1" applyFill="1" applyBorder="1" applyAlignment="1" applyProtection="1">
      <alignment horizontal="center" wrapText="1"/>
      <protection locked="0"/>
    </xf>
    <xf numFmtId="0" fontId="26" fillId="0" borderId="13" xfId="20" applyFont="1" applyBorder="1" applyAlignment="1" applyProtection="1">
      <alignment horizontal="center" vertical="center" textRotation="90"/>
    </xf>
    <xf numFmtId="0" fontId="47" fillId="10" borderId="11" xfId="0" applyFont="1" applyFill="1" applyBorder="1" applyAlignment="1">
      <alignment horizontal="center" vertical="center"/>
    </xf>
    <xf numFmtId="0" fontId="46" fillId="10" borderId="11" xfId="0" applyFont="1" applyFill="1" applyBorder="1" applyAlignment="1">
      <alignment horizontal="center" vertical="center"/>
    </xf>
    <xf numFmtId="0" fontId="46" fillId="10" borderId="0" xfId="0" applyFont="1" applyFill="1" applyAlignment="1">
      <alignment horizontal="center" vertical="center"/>
    </xf>
    <xf numFmtId="0" fontId="46" fillId="10" borderId="16"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85" xfId="0" applyFont="1" applyFill="1" applyBorder="1" applyAlignment="1">
      <alignment horizontal="center" vertical="center"/>
    </xf>
    <xf numFmtId="0" fontId="33" fillId="3" borderId="71" xfId="0" applyFont="1" applyFill="1" applyBorder="1" applyAlignment="1" applyProtection="1">
      <alignment horizontal="center" vertical="center" textRotation="90"/>
      <protection locked="0"/>
    </xf>
    <xf numFmtId="0" fontId="33" fillId="3" borderId="51" xfId="0" applyFont="1" applyFill="1" applyBorder="1" applyAlignment="1" applyProtection="1">
      <alignment horizontal="center" vertical="center" textRotation="90"/>
      <protection locked="0"/>
    </xf>
    <xf numFmtId="0" fontId="33" fillId="3" borderId="58" xfId="0" applyFont="1" applyFill="1" applyBorder="1" applyAlignment="1" applyProtection="1">
      <alignment horizontal="center" vertical="center" textRotation="90"/>
      <protection locked="0"/>
    </xf>
    <xf numFmtId="0" fontId="33" fillId="3" borderId="38" xfId="0" applyFont="1" applyFill="1" applyBorder="1" applyAlignment="1" applyProtection="1">
      <alignment horizontal="center" vertical="center" textRotation="90"/>
      <protection locked="0"/>
    </xf>
    <xf numFmtId="0" fontId="33" fillId="3" borderId="47" xfId="0" applyFont="1" applyFill="1" applyBorder="1" applyAlignment="1" applyProtection="1">
      <alignment horizontal="center" vertical="center" textRotation="90"/>
      <protection locked="0"/>
    </xf>
    <xf numFmtId="0" fontId="33" fillId="3" borderId="26" xfId="0" applyFont="1" applyFill="1" applyBorder="1" applyAlignment="1" applyProtection="1">
      <alignment horizontal="center" vertical="center" textRotation="90"/>
      <protection locked="0"/>
    </xf>
    <xf numFmtId="0" fontId="55" fillId="14" borderId="80" xfId="20" applyFont="1" applyFill="1" applyBorder="1" applyAlignment="1" applyProtection="1">
      <alignment horizontal="center" vertical="center" textRotation="90"/>
    </xf>
    <xf numFmtId="0" fontId="55" fillId="14" borderId="72" xfId="20" applyFont="1" applyFill="1" applyBorder="1" applyAlignment="1" applyProtection="1">
      <alignment horizontal="center" vertical="center" textRotation="90"/>
    </xf>
    <xf numFmtId="0" fontId="56" fillId="14" borderId="12" xfId="15" applyFont="1" applyFill="1" applyBorder="1" applyAlignment="1" applyProtection="1">
      <alignment horizontal="center" vertical="center" textRotation="90" wrapText="1"/>
    </xf>
    <xf numFmtId="0" fontId="56" fillId="14" borderId="13" xfId="15" applyFont="1" applyFill="1" applyBorder="1" applyAlignment="1" applyProtection="1">
      <alignment horizontal="center" vertical="center" textRotation="90" wrapText="1"/>
    </xf>
    <xf numFmtId="0" fontId="29" fillId="3" borderId="71" xfId="22" applyFont="1" applyFill="1" applyBorder="1" applyProtection="1">
      <alignment horizontal="left" wrapText="1"/>
      <protection locked="0"/>
    </xf>
    <xf numFmtId="0" fontId="29" fillId="3" borderId="11" xfId="22" applyFont="1" applyFill="1" applyBorder="1" applyProtection="1">
      <alignment horizontal="left" wrapText="1"/>
      <protection locked="0"/>
    </xf>
    <xf numFmtId="0" fontId="36" fillId="14" borderId="34" xfId="14" applyFont="1" applyFill="1" applyBorder="1" applyAlignment="1" applyProtection="1">
      <alignment horizontal="center" vertical="center"/>
    </xf>
    <xf numFmtId="0" fontId="36" fillId="14" borderId="11" xfId="14" applyFont="1" applyFill="1" applyBorder="1" applyAlignment="1" applyProtection="1">
      <alignment horizontal="center" vertical="center"/>
    </xf>
    <xf numFmtId="0" fontId="36" fillId="14" borderId="12" xfId="14" applyFont="1" applyFill="1" applyBorder="1" applyAlignment="1" applyProtection="1">
      <alignment horizontal="center" vertical="center"/>
    </xf>
    <xf numFmtId="0" fontId="36" fillId="14" borderId="18" xfId="14" applyFont="1" applyFill="1" applyBorder="1" applyAlignment="1" applyProtection="1">
      <alignment horizontal="center" vertical="center"/>
    </xf>
    <xf numFmtId="0" fontId="36" fillId="14" borderId="0" xfId="14" applyFont="1" applyFill="1" applyBorder="1" applyAlignment="1" applyProtection="1">
      <alignment horizontal="center" vertical="center"/>
    </xf>
    <xf numFmtId="0" fontId="36" fillId="14" borderId="13" xfId="14" applyFont="1" applyFill="1" applyBorder="1" applyAlignment="1" applyProtection="1">
      <alignment horizontal="center" vertical="center"/>
    </xf>
    <xf numFmtId="0" fontId="26" fillId="0" borderId="3" xfId="20" applyFont="1" applyBorder="1" applyAlignment="1" applyProtection="1">
      <alignment horizontal="center" vertical="center" textRotation="90"/>
    </xf>
    <xf numFmtId="0" fontId="26" fillId="0" borderId="35" xfId="20" applyFont="1" applyBorder="1" applyAlignment="1" applyProtection="1">
      <alignment horizontal="center" vertical="center" textRotation="90"/>
    </xf>
    <xf numFmtId="0" fontId="50" fillId="3" borderId="0" xfId="0" applyFont="1" applyFill="1" applyAlignment="1">
      <alignment horizontal="center"/>
    </xf>
    <xf numFmtId="0" fontId="7" fillId="10" borderId="14" xfId="0" applyFont="1" applyFill="1" applyBorder="1" applyAlignment="1">
      <alignment horizontal="center"/>
    </xf>
    <xf numFmtId="0" fontId="7" fillId="3" borderId="34" xfId="0" applyFont="1" applyFill="1" applyBorder="1" applyAlignment="1" applyProtection="1">
      <alignment horizontal="center"/>
      <protection locked="0"/>
    </xf>
    <xf numFmtId="0" fontId="7" fillId="3" borderId="11" xfId="0" applyFont="1" applyFill="1" applyBorder="1" applyAlignment="1" applyProtection="1">
      <alignment horizontal="center"/>
      <protection locked="0"/>
    </xf>
    <xf numFmtId="0" fontId="7" fillId="3" borderId="12" xfId="0" applyFont="1" applyFill="1" applyBorder="1" applyAlignment="1" applyProtection="1">
      <alignment horizontal="center"/>
      <protection locked="0"/>
    </xf>
    <xf numFmtId="0" fontId="7" fillId="3" borderId="33" xfId="0" applyFont="1" applyFill="1" applyBorder="1" applyAlignment="1" applyProtection="1">
      <alignment horizontal="center"/>
      <protection locked="0"/>
    </xf>
    <xf numFmtId="0" fontId="7" fillId="3" borderId="21" xfId="0" applyFont="1" applyFill="1" applyBorder="1" applyAlignment="1" applyProtection="1">
      <alignment horizontal="center"/>
      <protection locked="0"/>
    </xf>
    <xf numFmtId="0" fontId="7" fillId="3" borderId="35" xfId="0" applyFont="1" applyFill="1" applyBorder="1" applyAlignment="1" applyProtection="1">
      <alignment horizontal="center"/>
      <protection locked="0"/>
    </xf>
    <xf numFmtId="0" fontId="7" fillId="3" borderId="51" xfId="0" applyFont="1" applyFill="1" applyBorder="1" applyAlignment="1">
      <alignment horizontal="center"/>
    </xf>
    <xf numFmtId="0" fontId="7" fillId="3" borderId="0" xfId="0" applyFont="1" applyFill="1" applyAlignment="1">
      <alignment horizontal="center"/>
    </xf>
    <xf numFmtId="0" fontId="6" fillId="5" borderId="64" xfId="0" applyFont="1" applyFill="1" applyBorder="1" applyAlignment="1">
      <alignment horizontal="center" vertical="center"/>
    </xf>
    <xf numFmtId="0" fontId="6" fillId="5" borderId="46" xfId="0" applyFont="1" applyFill="1" applyBorder="1" applyAlignment="1">
      <alignment horizontal="center" vertical="center"/>
    </xf>
    <xf numFmtId="0" fontId="7" fillId="3" borderId="3" xfId="0" applyFont="1" applyFill="1" applyBorder="1" applyAlignment="1" applyProtection="1">
      <alignment horizontal="center"/>
      <protection locked="0"/>
    </xf>
    <xf numFmtId="0" fontId="7" fillId="3" borderId="19" xfId="0" applyFont="1" applyFill="1" applyBorder="1" applyAlignment="1" applyProtection="1">
      <alignment horizontal="center"/>
      <protection locked="0"/>
    </xf>
    <xf numFmtId="0" fontId="7" fillId="3" borderId="29" xfId="0" applyFont="1" applyFill="1" applyBorder="1" applyAlignment="1" applyProtection="1">
      <alignment horizontal="center"/>
      <protection locked="0"/>
    </xf>
    <xf numFmtId="0" fontId="7" fillId="3" borderId="54" xfId="0" applyFont="1" applyFill="1" applyBorder="1" applyAlignment="1" applyProtection="1">
      <alignment horizontal="center"/>
      <protection locked="0"/>
    </xf>
    <xf numFmtId="0" fontId="7" fillId="3" borderId="23" xfId="0" applyFont="1" applyFill="1" applyBorder="1" applyAlignment="1" applyProtection="1">
      <alignment horizontal="center"/>
      <protection locked="0"/>
    </xf>
    <xf numFmtId="0" fontId="7" fillId="3" borderId="64" xfId="0" applyFont="1" applyFill="1" applyBorder="1" applyAlignment="1" applyProtection="1">
      <alignment horizontal="center"/>
      <protection locked="0"/>
    </xf>
    <xf numFmtId="0" fontId="7" fillId="3" borderId="6" xfId="0" applyFont="1" applyFill="1" applyBorder="1" applyAlignment="1" applyProtection="1">
      <alignment horizontal="center"/>
      <protection locked="0"/>
    </xf>
    <xf numFmtId="0" fontId="7" fillId="3" borderId="24" xfId="0" applyFont="1" applyFill="1" applyBorder="1" applyAlignment="1" applyProtection="1">
      <alignment horizontal="center"/>
      <protection locked="0"/>
    </xf>
    <xf numFmtId="0" fontId="7" fillId="3" borderId="10" xfId="0" applyFont="1" applyFill="1" applyBorder="1" applyAlignment="1" applyProtection="1">
      <alignment horizontal="center"/>
      <protection locked="0"/>
    </xf>
    <xf numFmtId="0" fontId="6" fillId="3" borderId="0" xfId="0" applyFont="1" applyFill="1" applyAlignment="1">
      <alignment horizontal="center"/>
    </xf>
    <xf numFmtId="0" fontId="7" fillId="3" borderId="86" xfId="0" applyFont="1" applyFill="1" applyBorder="1" applyAlignment="1" applyProtection="1">
      <alignment horizontal="center"/>
      <protection locked="0"/>
    </xf>
    <xf numFmtId="0" fontId="7" fillId="3" borderId="30" xfId="0" applyFont="1" applyFill="1" applyBorder="1" applyAlignment="1" applyProtection="1">
      <alignment horizontal="center"/>
      <protection locked="0"/>
    </xf>
    <xf numFmtId="0" fontId="3" fillId="10" borderId="0" xfId="0" applyFont="1" applyFill="1" applyAlignment="1">
      <alignment horizontal="center"/>
    </xf>
    <xf numFmtId="0" fontId="3" fillId="9" borderId="28" xfId="0" applyFont="1" applyFill="1" applyBorder="1" applyAlignment="1">
      <alignment horizontal="center"/>
    </xf>
    <xf numFmtId="0" fontId="3" fillId="9" borderId="31" xfId="0" applyFont="1" applyFill="1" applyBorder="1" applyAlignment="1">
      <alignment horizontal="center"/>
    </xf>
    <xf numFmtId="0" fontId="3" fillId="8" borderId="28" xfId="4" applyFont="1" applyBorder="1" applyAlignment="1" applyProtection="1">
      <alignment horizontal="center" vertical="center" wrapText="1"/>
    </xf>
    <xf numFmtId="0" fontId="3" fillId="8" borderId="31" xfId="4" applyFont="1" applyBorder="1" applyAlignment="1" applyProtection="1">
      <alignment horizontal="center" vertical="center" wrapText="1"/>
    </xf>
    <xf numFmtId="0" fontId="3" fillId="8" borderId="32" xfId="4" applyFont="1" applyBorder="1" applyAlignment="1" applyProtection="1">
      <alignment horizontal="center" vertical="center" wrapText="1"/>
    </xf>
    <xf numFmtId="0" fontId="3" fillId="11" borderId="7" xfId="0" applyFont="1" applyFill="1" applyBorder="1" applyAlignment="1">
      <alignment horizontal="center"/>
    </xf>
    <xf numFmtId="0" fontId="3" fillId="11" borderId="1" xfId="0" applyFont="1" applyFill="1" applyBorder="1" applyAlignment="1">
      <alignment horizontal="center"/>
    </xf>
    <xf numFmtId="0" fontId="3" fillId="3" borderId="58" xfId="3" applyFont="1" applyFill="1" applyBorder="1" applyAlignment="1">
      <alignment horizontal="center" vertical="center" wrapText="1"/>
    </xf>
    <xf numFmtId="0" fontId="3" fillId="3" borderId="14" xfId="3" applyFont="1" applyFill="1" applyBorder="1" applyAlignment="1">
      <alignment horizontal="center" vertical="center" wrapText="1"/>
    </xf>
    <xf numFmtId="0" fontId="3" fillId="3" borderId="15" xfId="3" applyFont="1" applyFill="1" applyBorder="1" applyAlignment="1">
      <alignment horizontal="center" vertical="center" wrapText="1"/>
    </xf>
    <xf numFmtId="0" fontId="3" fillId="11" borderId="56" xfId="3" applyFont="1" applyFill="1" applyBorder="1" applyAlignment="1" applyProtection="1">
      <alignment horizontal="center" vertical="center" wrapText="1"/>
    </xf>
    <xf numFmtId="0" fontId="3" fillId="11" borderId="46" xfId="3" applyFont="1" applyFill="1" applyBorder="1" applyAlignment="1" applyProtection="1">
      <alignment horizontal="center" vertical="center" wrapText="1"/>
    </xf>
    <xf numFmtId="0" fontId="3" fillId="3" borderId="53" xfId="3" applyFont="1" applyFill="1" applyBorder="1" applyAlignment="1" applyProtection="1">
      <alignment horizontal="center" vertical="center" wrapText="1"/>
      <protection locked="0"/>
    </xf>
    <xf numFmtId="0" fontId="3" fillId="3" borderId="54" xfId="3" applyFont="1" applyFill="1" applyBorder="1" applyAlignment="1" applyProtection="1">
      <alignment horizontal="center" vertical="center" wrapText="1"/>
      <protection locked="0"/>
    </xf>
    <xf numFmtId="0" fontId="3" fillId="11" borderId="64" xfId="3" applyFont="1" applyFill="1" applyBorder="1" applyAlignment="1" applyProtection="1">
      <alignment horizontal="center" vertical="center" wrapText="1"/>
    </xf>
    <xf numFmtId="0" fontId="3" fillId="3" borderId="29" xfId="3" applyFont="1" applyFill="1" applyBorder="1" applyAlignment="1" applyProtection="1">
      <alignment horizontal="center" vertical="center" wrapText="1"/>
      <protection locked="0"/>
    </xf>
    <xf numFmtId="9" fontId="3" fillId="3" borderId="29" xfId="6" applyFont="1" applyFill="1" applyBorder="1" applyAlignment="1" applyProtection="1">
      <alignment horizontal="center" vertical="center" wrapText="1"/>
      <protection locked="0"/>
    </xf>
    <xf numFmtId="9" fontId="3" fillId="3" borderId="54" xfId="6" applyFont="1" applyFill="1" applyBorder="1" applyAlignment="1" applyProtection="1">
      <alignment horizontal="center" vertical="center" wrapText="1"/>
      <protection locked="0"/>
    </xf>
    <xf numFmtId="0" fontId="3" fillId="7" borderId="4" xfId="3" applyFont="1" applyBorder="1" applyAlignment="1" applyProtection="1">
      <alignment horizontal="center" vertical="center" wrapText="1"/>
    </xf>
    <xf numFmtId="0" fontId="2" fillId="7" borderId="1" xfId="3" applyFont="1" applyBorder="1" applyAlignment="1" applyProtection="1">
      <alignment horizontal="left" vertical="center" wrapText="1"/>
    </xf>
    <xf numFmtId="0" fontId="3" fillId="3" borderId="51" xfId="0" applyFont="1" applyFill="1" applyBorder="1" applyAlignment="1">
      <alignment horizontal="center"/>
    </xf>
    <xf numFmtId="0" fontId="3" fillId="3" borderId="0" xfId="0" applyFont="1" applyFill="1" applyAlignment="1">
      <alignment horizontal="center"/>
    </xf>
    <xf numFmtId="0" fontId="1" fillId="14" borderId="40" xfId="0" applyFont="1" applyFill="1" applyBorder="1" applyAlignment="1">
      <alignment horizontal="center"/>
    </xf>
    <xf numFmtId="0" fontId="1" fillId="14" borderId="41" xfId="0" applyFont="1" applyFill="1" applyBorder="1" applyAlignment="1">
      <alignment horizontal="center"/>
    </xf>
    <xf numFmtId="0" fontId="1" fillId="14" borderId="42" xfId="0" applyFont="1" applyFill="1" applyBorder="1" applyAlignment="1">
      <alignment horizontal="center"/>
    </xf>
    <xf numFmtId="0" fontId="3" fillId="7" borderId="60" xfId="3" applyFont="1" applyBorder="1" applyAlignment="1">
      <alignment horizontal="center" vertical="center" wrapText="1"/>
    </xf>
    <xf numFmtId="0" fontId="3" fillId="7" borderId="61" xfId="3" applyFont="1" applyBorder="1" applyAlignment="1">
      <alignment horizontal="center" vertical="center" wrapText="1"/>
    </xf>
    <xf numFmtId="0" fontId="3" fillId="7" borderId="62" xfId="3" applyFont="1" applyBorder="1" applyAlignment="1">
      <alignment horizontal="center" vertical="center" wrapText="1"/>
    </xf>
    <xf numFmtId="0" fontId="3" fillId="7" borderId="1" xfId="3" applyFont="1" applyBorder="1" applyAlignment="1" applyProtection="1">
      <alignment horizontal="left" vertical="center" wrapText="1"/>
    </xf>
    <xf numFmtId="0" fontId="3" fillId="3" borderId="63" xfId="3" applyFont="1" applyFill="1" applyBorder="1" applyAlignment="1" applyProtection="1">
      <alignment horizontal="center" vertical="center" wrapText="1"/>
    </xf>
    <xf numFmtId="0" fontId="3" fillId="3" borderId="21" xfId="3" applyFont="1" applyFill="1" applyBorder="1" applyAlignment="1" applyProtection="1">
      <alignment horizontal="center" vertical="center" wrapText="1"/>
    </xf>
    <xf numFmtId="0" fontId="3" fillId="3" borderId="59" xfId="3" applyFont="1" applyFill="1" applyBorder="1" applyAlignment="1" applyProtection="1">
      <alignment horizontal="center" vertical="center" wrapText="1"/>
    </xf>
    <xf numFmtId="0" fontId="3" fillId="11" borderId="9" xfId="0" applyFont="1" applyFill="1" applyBorder="1" applyAlignment="1">
      <alignment horizontal="center"/>
    </xf>
    <xf numFmtId="0" fontId="3" fillId="11" borderId="24" xfId="0" applyFont="1" applyFill="1" applyBorder="1" applyAlignment="1">
      <alignment horizontal="center"/>
    </xf>
    <xf numFmtId="0" fontId="49" fillId="3" borderId="0" xfId="0" applyFont="1" applyFill="1" applyAlignment="1">
      <alignment horizontal="center" vertical="center" wrapText="1"/>
    </xf>
    <xf numFmtId="0" fontId="39" fillId="14" borderId="0" xfId="0" applyFont="1" applyFill="1" applyAlignment="1" applyProtection="1">
      <alignment horizontal="center"/>
      <protection locked="0"/>
    </xf>
    <xf numFmtId="0" fontId="35" fillId="14" borderId="21" xfId="0" applyFont="1" applyFill="1" applyBorder="1" applyAlignment="1" applyProtection="1">
      <alignment horizontal="center"/>
      <protection locked="0"/>
    </xf>
    <xf numFmtId="0" fontId="60" fillId="3" borderId="0" xfId="0" applyFont="1" applyFill="1" applyAlignment="1">
      <alignment horizontal="center"/>
    </xf>
    <xf numFmtId="0" fontId="52" fillId="0" borderId="28" xfId="0" applyFont="1" applyBorder="1" applyAlignment="1">
      <alignment horizontal="center" vertical="center"/>
    </xf>
    <xf numFmtId="0" fontId="52" fillId="0" borderId="32" xfId="0" applyFont="1" applyBorder="1" applyAlignment="1">
      <alignment horizontal="center" vertical="center"/>
    </xf>
    <xf numFmtId="0" fontId="51" fillId="10" borderId="0" xfId="0" applyFont="1" applyFill="1" applyAlignment="1">
      <alignment horizontal="center"/>
    </xf>
    <xf numFmtId="0" fontId="43" fillId="14" borderId="38" xfId="0" applyFont="1" applyFill="1" applyBorder="1" applyAlignment="1">
      <alignment horizontal="center" vertical="center" textRotation="90"/>
    </xf>
    <xf numFmtId="0" fontId="43" fillId="14" borderId="47" xfId="0" applyFont="1" applyFill="1" applyBorder="1" applyAlignment="1">
      <alignment horizontal="center" vertical="center" textRotation="90"/>
    </xf>
    <xf numFmtId="0" fontId="43" fillId="14" borderId="26" xfId="0" applyFont="1" applyFill="1" applyBorder="1" applyAlignment="1">
      <alignment horizontal="center" vertical="center" textRotation="90"/>
    </xf>
    <xf numFmtId="0" fontId="0" fillId="3" borderId="11" xfId="0" applyFill="1" applyBorder="1" applyAlignment="1">
      <alignment horizontal="center" vertical="center" wrapText="1"/>
    </xf>
    <xf numFmtId="0" fontId="0" fillId="3" borderId="0" xfId="0" applyFill="1" applyAlignment="1">
      <alignment horizontal="center" vertical="center" wrapText="1"/>
    </xf>
    <xf numFmtId="0" fontId="0" fillId="3" borderId="17" xfId="0" applyFill="1" applyBorder="1" applyAlignment="1">
      <alignment horizontal="center" vertical="center" wrapText="1"/>
    </xf>
    <xf numFmtId="0" fontId="0" fillId="12" borderId="21" xfId="0" applyFill="1" applyBorder="1" applyAlignment="1">
      <alignment horizontal="center" vertical="center" wrapText="1"/>
    </xf>
    <xf numFmtId="0" fontId="0" fillId="12" borderId="0" xfId="0" applyFill="1" applyAlignment="1">
      <alignment horizontal="center" vertical="center" wrapText="1"/>
    </xf>
    <xf numFmtId="0" fontId="0" fillId="12" borderId="17"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57" xfId="0" applyFill="1" applyBorder="1" applyAlignment="1">
      <alignment horizontal="center" vertical="center" wrapText="1"/>
    </xf>
    <xf numFmtId="0" fontId="0" fillId="3" borderId="49" xfId="0" applyFill="1" applyBorder="1" applyAlignment="1">
      <alignment horizontal="center" vertical="center"/>
    </xf>
    <xf numFmtId="0" fontId="0" fillId="12" borderId="22" xfId="0" applyFill="1" applyBorder="1" applyAlignment="1">
      <alignment horizontal="center" vertical="center" wrapText="1"/>
    </xf>
    <xf numFmtId="0" fontId="0" fillId="12" borderId="49" xfId="0" applyFill="1" applyBorder="1" applyAlignment="1">
      <alignment horizontal="center" vertical="center"/>
    </xf>
    <xf numFmtId="0" fontId="0" fillId="3" borderId="22" xfId="0" applyFill="1" applyBorder="1" applyAlignment="1">
      <alignment horizontal="center" vertical="center" wrapText="1"/>
    </xf>
    <xf numFmtId="0" fontId="0" fillId="12" borderId="85" xfId="0" applyFill="1" applyBorder="1" applyAlignment="1">
      <alignment horizontal="center" vertical="center"/>
    </xf>
    <xf numFmtId="0" fontId="42" fillId="14" borderId="18" xfId="0" applyFont="1" applyFill="1" applyBorder="1" applyAlignment="1">
      <alignment horizontal="center" vertical="center"/>
    </xf>
    <xf numFmtId="0" fontId="42" fillId="14" borderId="0" xfId="0" applyFont="1" applyFill="1" applyAlignment="1">
      <alignment horizontal="center" vertical="center"/>
    </xf>
    <xf numFmtId="0" fontId="42" fillId="14" borderId="16" xfId="0" applyFont="1" applyFill="1" applyBorder="1" applyAlignment="1">
      <alignment horizontal="center" vertical="center"/>
    </xf>
    <xf numFmtId="0" fontId="42" fillId="14" borderId="14" xfId="0" applyFont="1" applyFill="1" applyBorder="1" applyAlignment="1">
      <alignment horizontal="center" vertical="center"/>
    </xf>
    <xf numFmtId="0" fontId="42" fillId="14" borderId="85" xfId="0" applyFont="1" applyFill="1" applyBorder="1" applyAlignment="1">
      <alignment horizontal="center" vertical="center"/>
    </xf>
    <xf numFmtId="0" fontId="42" fillId="14" borderId="55" xfId="0" applyFont="1" applyFill="1" applyBorder="1" applyAlignment="1">
      <alignment horizontal="center" vertical="center"/>
    </xf>
    <xf numFmtId="0" fontId="3" fillId="4" borderId="1" xfId="0" applyFont="1" applyFill="1" applyBorder="1" applyAlignment="1">
      <alignment horizontal="center" vertical="center"/>
    </xf>
  </cellXfs>
  <cellStyles count="24">
    <cellStyle name="60% - Accent1" xfId="4" builtinId="32"/>
    <cellStyle name="Activity" xfId="22" xr:uid="{4C8B2FE3-FD63-4230-B553-B7904C003AB4}"/>
    <cellStyle name="Bad" xfId="18" builtinId="27"/>
    <cellStyle name="Check Cell" xfId="1" builtinId="23"/>
    <cellStyle name="Comma 4 4" xfId="8" xr:uid="{FE5F3D99-A778-4712-B110-84B7C630D16D}"/>
    <cellStyle name="Comma 7" xfId="13" xr:uid="{2D079A4F-3CBE-425B-A62D-719BD635E52F}"/>
    <cellStyle name="Currency 2" xfId="10" xr:uid="{4889658D-FE17-413C-BD44-1398D65E169D}"/>
    <cellStyle name="Good" xfId="17" builtinId="26"/>
    <cellStyle name="Heading 1 2" xfId="16" xr:uid="{DE607B57-9442-4CB8-AD6F-CD8FC3ED7342}"/>
    <cellStyle name="Heading 2 2" xfId="14" xr:uid="{31A58BA2-17FA-4EDF-BF66-C134029B0B32}"/>
    <cellStyle name="Heading 3 2" xfId="15" xr:uid="{EBDEBCFD-1FAB-4752-9783-0673BF8847B5}"/>
    <cellStyle name="Heading 4 2" xfId="19" xr:uid="{8ED0D1A3-7490-4693-A4EB-22C622AC7E8E}"/>
    <cellStyle name="Normal" xfId="0" builtinId="0"/>
    <cellStyle name="Normal 2" xfId="20" xr:uid="{D424DBB8-9C9D-4035-9867-389D5BCFFB3E}"/>
    <cellStyle name="Normal 2 2" xfId="2" xr:uid="{ADE0BCF9-84FE-466A-B763-0B9080943E6F}"/>
    <cellStyle name="Normal 5" xfId="7" xr:uid="{CFDFA30B-C2A7-48BF-81AF-75D5822B614F}"/>
    <cellStyle name="Normal 6" xfId="5" xr:uid="{9C98F52E-64F7-4FB4-ACB2-6CB187D44CB0}"/>
    <cellStyle name="Note" xfId="3" builtinId="10"/>
    <cellStyle name="Output 2" xfId="11" xr:uid="{E9D5DD74-CA88-46B1-B88D-50271D8EE60D}"/>
    <cellStyle name="Percent" xfId="6" builtinId="5"/>
    <cellStyle name="Percent 2" xfId="9" xr:uid="{17054513-6143-46BE-8607-7353023AA50A}"/>
    <cellStyle name="Percent 3" xfId="12" xr:uid="{28C5E903-3864-4EC9-890F-9BE92AA11FF6}"/>
    <cellStyle name="Percent Complete" xfId="23" xr:uid="{10242132-752D-47F8-AA2C-A22BCB250335}"/>
    <cellStyle name="Period Headers" xfId="21" xr:uid="{A65C0C8D-952B-4A16-8220-00736AD58424}"/>
  </cellStyles>
  <dxfs count="96">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patternFill>
      </fill>
      <border>
        <bottom style="thin">
          <color theme="0"/>
        </bottom>
        <vertical/>
        <horizontal/>
      </border>
    </dxf>
    <dxf>
      <fill>
        <gradientFill>
          <stop position="0">
            <color theme="0"/>
          </stop>
          <stop position="0.5">
            <color theme="4" tint="0.80001220740379042"/>
          </stop>
          <stop position="1">
            <color theme="0"/>
          </stop>
        </gradientFill>
      </fill>
      <border>
        <bottom style="thin">
          <color theme="0"/>
        </bottom>
        <vertical/>
        <horizontal/>
      </border>
    </dxf>
    <dxf>
      <font>
        <b val="0"/>
        <i val="0"/>
        <strike val="0"/>
        <u val="none"/>
        <color theme="5" tint="-0.24994659260841701"/>
      </font>
      <fill>
        <patternFill patternType="darkTrellis">
          <fgColor theme="5" tint="-0.24994659260841701"/>
          <bgColor auto="1"/>
        </patternFill>
      </fill>
      <border>
        <left/>
        <right/>
        <top style="thin">
          <color auto="1"/>
        </top>
        <bottom style="thin">
          <color auto="1"/>
        </bottom>
      </border>
    </dxf>
    <dxf>
      <font>
        <b val="0"/>
        <i val="0"/>
        <strike val="0"/>
        <color rgb="FFFFFF00"/>
      </font>
      <fill>
        <patternFill patternType="darkTrellis">
          <fgColor rgb="FFFFFF00"/>
          <bgColor auto="1"/>
        </patternFill>
      </fill>
      <border>
        <left/>
        <right/>
        <top style="thin">
          <color auto="1"/>
        </top>
        <bottom style="thin">
          <color auto="1"/>
        </bottom>
      </border>
    </dxf>
    <dxf>
      <font>
        <b val="0"/>
        <i val="0"/>
        <strike val="0"/>
        <color theme="9" tint="-0.24994659260841701"/>
      </font>
      <fill>
        <patternFill patternType="darkTrellis">
          <fgColor theme="9" tint="-0.24994659260841701"/>
          <bgColor auto="1"/>
        </patternFill>
      </fill>
      <border>
        <left/>
        <right/>
        <top style="thin">
          <color auto="1"/>
        </top>
        <bottom style="thin">
          <color auto="1"/>
        </bottom>
      </border>
    </dxf>
    <dxf>
      <font>
        <b val="0"/>
        <i val="0"/>
        <strike val="0"/>
        <color theme="4" tint="-0.24994659260841701"/>
      </font>
      <fill>
        <patternFill patternType="darkTrellis">
          <fgColor theme="4" tint="-0.24994659260841701"/>
          <bgColor auto="1"/>
        </patternFill>
      </fill>
      <border>
        <left/>
        <right/>
        <top style="thin">
          <color auto="1"/>
        </top>
        <bottom style="thin">
          <color auto="1"/>
        </bottom>
      </border>
    </dxf>
    <dxf>
      <font>
        <b val="0"/>
        <i val="0"/>
        <strike val="0"/>
        <color theme="7"/>
      </font>
      <fill>
        <patternFill patternType="darkTrellis">
          <fgColor theme="7"/>
          <bgColor auto="1"/>
        </patternFill>
      </fill>
      <border>
        <left/>
        <right/>
        <top style="thin">
          <color auto="1"/>
        </top>
        <bottom style="thin">
          <color auto="1"/>
        </bottom>
      </border>
    </dxf>
    <dxf>
      <fill>
        <gradientFill>
          <stop position="0">
            <color theme="0"/>
          </stop>
          <stop position="0.5">
            <color theme="4" tint="0.80001220740379042"/>
          </stop>
          <stop position="1">
            <color theme="0"/>
          </stop>
        </gradientFill>
      </fill>
      <border>
        <bottom style="thin">
          <color theme="0"/>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border>
        <bottom style="thin">
          <color indexed="64"/>
        </bottom>
      </border>
    </dxf>
    <dxf>
      <font>
        <strike val="0"/>
        <outline val="0"/>
        <shadow val="0"/>
        <u val="none"/>
        <vertAlign val="baseline"/>
        <sz val="14"/>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1" indent="0" justifyLastLine="0" shrinkToFit="0" readingOrder="1"/>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dxf>
    <dxf>
      <font>
        <strike val="0"/>
        <outline val="0"/>
        <shadow val="0"/>
        <u val="none"/>
        <vertAlign val="baseline"/>
        <sz val="12"/>
        <color theme="1"/>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1" indent="0" justifyLastLine="0" shrinkToFit="0" readingOrder="1"/>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dxf>
    <dxf>
      <font>
        <strike val="0"/>
        <outline val="0"/>
        <shadow val="0"/>
        <u val="none"/>
        <vertAlign val="baseline"/>
        <sz val="12"/>
        <color theme="1"/>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1" indent="0" justifyLastLine="0" shrinkToFit="0" readingOrder="1"/>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dxf>
    <dxf>
      <font>
        <strike val="0"/>
        <outline val="0"/>
        <shadow val="0"/>
        <u val="none"/>
        <vertAlign val="baseline"/>
        <sz val="10"/>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66" formatCode="_ &quot;₹&quot;\ * #,##0_ ;_ &quot;₹&quot;\ * \-#,##0_ ;_ &quot;₹&quot;\ * &quot;-&quot;??_ ;_ @_ "/>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protection locked="0" hidden="0"/>
    </dxf>
    <dxf>
      <border>
        <bottom style="thin">
          <color indexed="64"/>
        </bottom>
      </border>
    </dxf>
    <dxf>
      <font>
        <strike val="0"/>
        <outline val="0"/>
        <shadow val="0"/>
        <u val="none"/>
        <vertAlign val="baseline"/>
        <sz val="12"/>
        <color theme="0"/>
        <name val="Calibri"/>
        <family val="2"/>
        <scheme val="minor"/>
      </font>
      <fill>
        <patternFill patternType="solid">
          <fgColor indexed="64"/>
          <bgColor rgb="FF002060"/>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Calibri"/>
        <family val="2"/>
        <scheme val="minor"/>
      </font>
      <numFmt numFmtId="166" formatCode="_ &quot;₹&quot;\ * #,##0_ ;_ &quot;₹&quot;\ * \-#,##0_ ;_ &quot;₹&quot;\ * &quot;-&quot;??_ ;_ @_ "/>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medium">
          <color indexed="64"/>
        </right>
        <top style="thin">
          <color indexed="64"/>
        </top>
        <bottom style="thin">
          <color indexed="64"/>
        </bottom>
      </border>
      <protection locked="1" hidden="0"/>
    </dxf>
    <dxf>
      <numFmt numFmtId="170" formatCode="_ [$₹-4009]\ * #,##0.00_ ;_ [$₹-4009]\ * \-#,##0.00_ ;_ [$₹-4009]\ * &quot;-&quot;??_ ;_ @_ "/>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numFmt numFmtId="170" formatCode="_ [$₹-4009]\ * #,##0.00_ ;_ [$₹-4009]\ * \-#,##0.00_ ;_ [$₹-4009]\ * &quot;-&quot;??_ ;_ @_ "/>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right/>
        <top style="thin">
          <color indexed="64"/>
        </top>
        <bottom style="thin">
          <color indexed="64"/>
        </bottom>
      </border>
      <protection locked="0" hidden="0"/>
    </dxf>
    <dxf>
      <font>
        <b/>
        <family val="2"/>
      </font>
      <alignment horizontal="center" vertical="bottom" textRotation="0" wrapText="0" indent="0" justifyLastLine="0" shrinkToFit="0" readingOrder="0"/>
      <protection locked="0" hidden="0"/>
    </dxf>
    <dxf>
      <border outline="0">
        <bottom style="medium">
          <color indexed="64"/>
        </bottom>
      </border>
    </dxf>
    <dxf>
      <protection locked="0" hidden="0"/>
    </dxf>
    <dxf>
      <fill>
        <patternFill patternType="solid">
          <fgColor indexed="64"/>
          <bgColor theme="3" tint="-0.249977111117893"/>
        </patternFill>
      </fill>
      <alignment horizontal="center" vertical="center" textRotation="0" wrapText="1" indent="0" justifyLastLine="0" shrinkToFit="0" readingOrder="0"/>
      <protection locked="1" hidden="0"/>
    </dxf>
    <dxf>
      <font>
        <color theme="1"/>
      </font>
      <numFmt numFmtId="167" formatCode="_ [$€-2]\ * #,##0.00_ ;_ [$€-2]\ * \-#,##0.00_ ;_ [$€-2]\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scheme val="none"/>
      </font>
      <numFmt numFmtId="166" formatCode="_ &quot;₹&quot;\ * #,##0_ ;_ &quot;₹&quot;\ * \-#,##0_ ;_ &quot;₹&quot;\ * &quot;-&quot;??_ ;_ @_ "/>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color theme="1"/>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protection locked="0" hidden="0"/>
    </dxf>
    <dxf>
      <border outline="0">
        <bottom style="thin">
          <color indexed="64"/>
        </bottom>
      </border>
    </dxf>
    <dxf>
      <font>
        <strike val="0"/>
        <outline val="0"/>
        <shadow val="0"/>
        <u val="none"/>
        <vertAlign val="baseline"/>
        <color theme="0"/>
      </font>
      <fill>
        <patternFill>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numFmt numFmtId="167" formatCode="_ [$€-2]\ * #,##0.00_ ;_ [$€-2]\ * \-#,##0.00_ ;_ [$€-2]\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6" formatCode="_ &quot;₹&quot;\ * #,##0_ ;_ &quot;₹&quot;\ * \-#,##0_ ;_ &quot;₹&quot;\ * &quot;-&quot;??_ ;_ @_ "/>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protection locked="0" hidden="0"/>
    </dxf>
    <dxf>
      <border outline="0">
        <bottom style="thin">
          <color indexed="64"/>
        </bottom>
      </border>
    </dxf>
    <dxf>
      <font>
        <strike val="0"/>
        <outline val="0"/>
        <shadow val="0"/>
        <u val="none"/>
        <vertAlign val="baseline"/>
        <color theme="0"/>
      </font>
      <fill>
        <patternFill>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style="medium">
          <color rgb="FF8EAADB"/>
        </right>
        <top/>
        <bottom style="medium">
          <color rgb="FF8EAADB"/>
        </bottom>
      </border>
      <protection locked="0" hidden="0"/>
    </dxf>
    <dxf>
      <font>
        <strike val="0"/>
        <outline val="0"/>
        <shadow val="0"/>
        <u val="none"/>
        <vertAlign val="baseline"/>
        <sz val="10"/>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medium">
          <color rgb="FF8EAADB"/>
        </right>
        <top/>
        <bottom style="medium">
          <color rgb="FF8EAADB"/>
        </bottom>
      </border>
      <protection locked="0" hidden="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border outline="0">
        <top style="double">
          <color rgb="FF3F3F3F"/>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protection locked="0" hidden="0"/>
    </dxf>
    <dxf>
      <border>
        <bottom style="medium">
          <color indexed="64"/>
        </bottom>
      </border>
    </dxf>
    <dxf>
      <font>
        <strike val="0"/>
        <outline val="0"/>
        <shadow val="0"/>
        <u val="none"/>
        <vertAlign val="baseline"/>
        <sz val="11"/>
        <color theme="0"/>
        <name val="Calibri"/>
        <family val="2"/>
        <scheme val="minor"/>
      </font>
      <fill>
        <patternFill patternType="none">
          <fgColor indexed="64"/>
          <bgColor rgb="FF002060"/>
        </patternFill>
      </fill>
      <alignment horizontal="center" vertical="center" textRotation="0" wrapText="1" indent="0" justifyLastLine="0" shrinkToFit="0" readingOrder="0"/>
      <border diagonalUp="0" diagonalDown="0" outline="0">
        <left style="double">
          <color rgb="FF3F3F3F"/>
        </left>
        <right style="double">
          <color rgb="FF3F3F3F"/>
        </right>
        <top/>
        <bottom/>
      </border>
      <protection locked="1" hidden="0"/>
    </dxf>
    <dxf>
      <alignment horizontal="center" vertical="center" textRotation="0" wrapText="0" indent="0" justifyLastLine="0" shrinkToFit="0" readingOrder="0"/>
    </dxf>
    <dxf>
      <alignment horizontal="center" textRotation="0" wrapText="0" indent="0" justifyLastLine="0" shrinkToFit="0" readingOrder="0"/>
    </dxf>
    <dxf>
      <fill>
        <patternFill>
          <bgColor theme="0" tint="-4.9989318521683403E-2"/>
        </patternFill>
      </fill>
    </dxf>
    <dxf>
      <fill>
        <patternFill>
          <bgColor theme="0" tint="-4.9989318521683403E-2"/>
        </patternFill>
      </fill>
    </dxf>
    <dxf>
      <font>
        <color theme="0"/>
      </font>
      <fill>
        <patternFill>
          <bgColor rgb="FF2B1E64"/>
        </patternFill>
      </fill>
    </dxf>
  </dxfs>
  <tableStyles count="1" defaultTableStyle="TableStyleMedium2" defaultPivotStyle="PivotStyleLight16">
    <tableStyle name="SCIL_Corporate_Table" pivot="0" count="3" xr9:uid="{36547C13-5B8D-41D9-A191-71A0541A28F3}">
      <tableStyleElement type="headerRow" dxfId="95"/>
      <tableStyleElement type="firstRowStripe" dxfId="94"/>
      <tableStyleElement type="firstColumnStripe"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Ts/Running/CT2172%20(DPM%20Nagpur)/SPI/TCR_Technical%20Checklist%20Report.xlsx" TargetMode="External"/><Relationship Id="rId2" Type="http://schemas.openxmlformats.org/officeDocument/2006/relationships/externalLinkPath" Target="file:///D:\Smart%20Controls%20India%20Ltd\SmartSales%20-%20General\1.%20Templates\8.%20Enginerring%20&amp;%20Offer%20Template\Released\Active\TCR_Technical%20Checklist%20Report.xlsx" TargetMode="External"/><Relationship Id="rId1" Type="http://schemas.openxmlformats.org/officeDocument/2006/relationships/externalLinkPath" Target="/personal/sanjay_goyal_zeppelin_com/Documents/SCI-OneDrive/CTs/Running/CT2172%20(DPM%20Nagpur)/SPI/TCR_Technical%20Checklis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8. Technical Checklist"/>
      <sheetName val="Checklist Sheet (2)"/>
      <sheetName val="Tabelle1 (2)"/>
      <sheetName val="Tabelle1"/>
      <sheetName val="Sheet1"/>
      <sheetName val="Tabelle2"/>
      <sheetName val="TCR_Technical Checklist Report"/>
    </sheetNames>
    <definedNames>
      <definedName name="F"/>
    </definedNames>
    <sheetDataSet>
      <sheetData sheetId="0"/>
      <sheetData sheetId="1"/>
      <sheetData sheetId="2"/>
      <sheetData sheetId="3"/>
      <sheetData sheetId="4"/>
      <sheetData sheetId="5"/>
      <sheetData sheetId="6"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449D4E-6F02-4383-8BE8-0DBF9A1A91C0}" name="Table3" displayName="Table3" ref="A2:E433" totalsRowShown="0" headerRowDxfId="92">
  <autoFilter ref="A2:E433" xr:uid="{8203F6EB-4133-4117-8F09-D14C424CE21A}"/>
  <tableColumns count="5">
    <tableColumn id="1" xr3:uid="{16329B52-62CC-4A4F-B1F4-7E8DB77F0E48}" name="S.No" dataDxfId="91"/>
    <tableColumn id="2" xr3:uid="{24C44EC6-5C5E-45A2-94FF-46E671EC41E9}" name="Module"/>
    <tableColumn id="3" xr3:uid="{4E132FD0-3617-488D-8E79-0F672BB58E36}" name="Requirement Group"/>
    <tableColumn id="4" xr3:uid="{B83A6587-D2A5-433C-8DD6-D88C70ED80C0}" name="Requirement Details"/>
    <tableColumn id="5" xr3:uid="{D223E70A-AE1E-488A-BD0A-3C732E2675E8}" name="Remarks"/>
  </tableColumns>
  <tableStyleInfo name="SCIL_Corporate_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A4BDD-C28A-48E9-B454-3123EC19CDED}" name="Table1" displayName="Table1" ref="A16:K513" totalsRowShown="0" headerRowDxfId="90" dataDxfId="88" headerRowBorderDxfId="89" tableBorderDxfId="87" headerRowCellStyle="Check Cell">
  <autoFilter ref="A16:K513" xr:uid="{D567665F-E01E-4676-B672-1B8B4A3369E7}"/>
  <tableColumns count="11">
    <tableColumn id="1" xr3:uid="{8E9B6AB1-10B8-4727-AFE2-DB1A07FF6A1E}" name="Req ID" dataDxfId="86"/>
    <tableColumn id="2" xr3:uid="{6C1AFE55-DAF4-4215-891F-0BD14985E588}" name="Type" dataDxfId="85"/>
    <tableColumn id="3" xr3:uid="{556C88AC-12AA-4794-ABEB-62CD4707380D}" name="Module" dataDxfId="84"/>
    <tableColumn id="4" xr3:uid="{C8D79C24-E270-40EC-BF3E-861ABBB24B99}" name="Req Category" dataDxfId="83"/>
    <tableColumn id="5" xr3:uid="{D3D03664-3A31-48BA-AA17-8D315876C816}" name="Req Summary" dataDxfId="82"/>
    <tableColumn id="6" xr3:uid="{0EDF498B-9807-446D-A7B6-1A096CDEFE50}" name="Req Description" dataDxfId="81"/>
    <tableColumn id="7" xr3:uid="{8AC4EA4F-39B8-4C37-B8B9-0CB233B27784}" name="Other _x000a_Integration" dataDxfId="80"/>
    <tableColumn id="8" xr3:uid="{70E48416-BA20-4D74-A040-EB630CDE54FE}" name="SAP_x000a_Integration" dataDxfId="79"/>
    <tableColumn id="9" xr3:uid="{88F34783-C8BD-41E0-9C2E-7D05E8CF8021}" name="OEM _x000a_Integration" dataDxfId="78"/>
    <tableColumn id="10" xr3:uid="{632471B1-3EC7-4F69-B7E9-EB7820804B6A}" name="Complexity" dataDxfId="77"/>
    <tableColumn id="11" xr3:uid="{84DBB21E-E82E-4BCE-97EC-23C1C3B9AC80}" name="Dev Efforts" dataDxfId="76">
      <calculatedColumnFormula>Table1[[#This Row],[Complexity]]*$A$11+SUM(Table1[[#This Row],[Other 
Integration]:[OEM 
Integration]])*$C$11</calculatedColumnFormula>
    </tableColumn>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B4CB7B-3EE4-4F06-AA78-BA7A0C6D0BD8}" name="DomesticRC" displayName="DomesticRC" ref="M2:P10" totalsRowShown="0" headerRowDxfId="75" dataDxfId="73" headerRowBorderDxfId="74" tableBorderDxfId="72" totalsRowBorderDxfId="71">
  <autoFilter ref="M2:P10" xr:uid="{D7B4CB7B-3EE4-4F06-AA78-BA7A0C6D0BD8}"/>
  <tableColumns count="4">
    <tableColumn id="4" xr3:uid="{7E284A69-65B6-483C-B467-D595A646539A}" name="Location" dataDxfId="70"/>
    <tableColumn id="1" xr3:uid="{5243713F-D342-4652-AAB7-59DB47BC4B5F}" name="Item" dataDxfId="69"/>
    <tableColumn id="2" xr3:uid="{E45AD867-DF4A-48CA-9C91-AC30BAFEF4DC}" name="In INR" dataDxfId="68"/>
    <tableColumn id="3" xr3:uid="{284BCE8E-6CAF-4DE4-AD1E-0EDC74077321}" name="In EUR" dataDxfId="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82662-64EA-4207-B325-BED2A7591E53}" name="DomesticRC7" displayName="DomesticRC7" ref="N13:P23" totalsRowShown="0" headerRowDxfId="66" dataDxfId="64" headerRowBorderDxfId="65" tableBorderDxfId="63" totalsRowBorderDxfId="62">
  <autoFilter ref="N13:P23" xr:uid="{AB482662-64EA-4207-B325-BED2A7591E53}"/>
  <tableColumns count="3">
    <tableColumn id="1" xr3:uid="{DD9B9643-0549-468D-8786-D09E280D4579}" name="Item" dataDxfId="61"/>
    <tableColumn id="2" xr3:uid="{378BA365-CA3D-4274-81B2-DC860F182B30}" name="In INR" dataDxfId="60"/>
    <tableColumn id="3" xr3:uid="{0C9463AB-C130-4149-83C9-F5276613E561}" name="In EUR" dataDxfId="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A05E4D-DAEA-4168-A532-53A1ED941B8A}" name="TravelExpense" displayName="TravelExpense" ref="B2:K17" totalsRowShown="0" headerRowDxfId="58" dataDxfId="57" tableBorderDxfId="56" headerRowCellStyle="Check Cell">
  <autoFilter ref="B2:K17" xr:uid="{1BA05E4D-DAEA-4168-A532-53A1ED941B8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FECDDF0-8774-4838-9BFB-339A137F53D1}" name="Group" dataDxfId="55"/>
    <tableColumn id="2" xr3:uid="{EFF2673C-EC26-44A9-ABC7-7A8C939CD037}" name="Activity" dataDxfId="54"/>
    <tableColumn id="3" xr3:uid="{F27BDD03-0497-43D4-8B4C-3972E5803908}" name="Location" dataDxfId="53"/>
    <tableColumn id="4" xr3:uid="{585DD7E9-0961-40B0-BB98-DCD69D38BE61}" name="No of _x000a_Trips" dataDxfId="52"/>
    <tableColumn id="5" xr3:uid="{988E4B2A-68E9-47F2-893C-6FDCA1D7404B}" name="No Of_x000a_ resource" dataDxfId="51"/>
    <tableColumn id="6" xr3:uid="{A463C839-DD1A-4621-BF1B-1DFA9509CECC}" name="Days in Each trip _x000a_including travel " dataDxfId="50"/>
    <tableColumn id="7" xr3:uid="{43DD90F9-8FBA-4255-A444-4CBE387F7C83}" name="Reason" dataDxfId="49">
      <calculatedColumnFormula>TravelExpense[[#This Row],[Days in Each trip 
including travel ]]*TravelExpense[[#This Row],[No Of
 resource]]*TravelExpense[[#This Row],[No of 
Trips]]</calculatedColumnFormula>
    </tableColumn>
    <tableColumn id="8" xr3:uid="{D89132CF-66A1-44C4-84AA-BABBC4DFFDE1}" name="Lodging _x000a_&amp; Boarding" dataDxfId="48">
      <calculatedColumnFormula>IF(D3="Domestic",($O$3+$O$4)*F3*G3*E3,($O$7+$O$8)*F3*G3*E3)</calculatedColumnFormula>
    </tableColumn>
    <tableColumn id="9" xr3:uid="{87CC2DF1-3B50-4D68-9891-EB9CD3062DB2}" name="Conveyance" dataDxfId="47">
      <calculatedColumnFormula>IF(D3="Domestic",($O$6*E3*F3)+(E3*F3*G3*$O$5),($O$10*E3*F3)+(E3*F3*G3*$O$9))</calculatedColumnFormula>
    </tableColumn>
    <tableColumn id="10" xr3:uid="{1D584688-5C46-4D78-8CD4-66E7688F3F37}" name="Total Cost" dataDxfId="46">
      <calculatedColumnFormula>SUM(I3:J3)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D06986-8907-49F6-8513-2914CDF189CE}" name="OtherExpense" displayName="OtherExpense" ref="B19:G34" totalsRowShown="0" headerRowDxfId="45" dataDxfId="43" headerRowBorderDxfId="44" tableBorderDxfId="42" totalsRowBorderDxfId="41">
  <autoFilter ref="B19:G34" xr:uid="{EDD06986-8907-49F6-8513-2914CDF189CE}">
    <filterColumn colId="0" hiddenButton="1"/>
    <filterColumn colId="1" hiddenButton="1"/>
    <filterColumn colId="2" hiddenButton="1"/>
    <filterColumn colId="3" hiddenButton="1"/>
    <filterColumn colId="4" hiddenButton="1"/>
    <filterColumn colId="5" hiddenButton="1"/>
  </autoFilter>
  <tableColumns count="6">
    <tableColumn id="1" xr3:uid="{DEAFB259-D1BA-480E-8F77-4A4F29AE38BB}" name="Group" dataDxfId="40"/>
    <tableColumn id="2" xr3:uid="{9E739C01-8DB9-4C24-93AE-42DEBFD2440C}" name="Activity" dataDxfId="39"/>
    <tableColumn id="4" xr3:uid="{EA9E18B3-9844-4301-904F-5B5CFFC4F473}" name="No Of _x000a_Times" dataDxfId="38"/>
    <tableColumn id="5" xr3:uid="{DECB4774-096F-4B56-9572-B40921057EE8}" name="No Of _x000a_resource" dataDxfId="37"/>
    <tableColumn id="6" xr3:uid="{717CBEEF-31AB-4473-B25F-00B4C23C1E53}" name="Reason" dataDxfId="36"/>
    <tableColumn id="10" xr3:uid="{D54F8DF2-1630-48D3-989F-13AE3388D9BE}" name="Total Cost" dataDxfId="3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CF6AF6-9A4F-4B87-848A-F5A6F72D86A9}" name="Table35" displayName="Table35" ref="A3:B33" totalsRowShown="0" headerRowDxfId="34" dataDxfId="33">
  <autoFilter ref="A3:B33" xr:uid="{9ECF6AF6-9A4F-4B87-848A-F5A6F72D86A9}">
    <filterColumn colId="0" hiddenButton="1"/>
    <filterColumn colId="1" hiddenButton="1"/>
  </autoFilter>
  <tableColumns count="2">
    <tableColumn id="1" xr3:uid="{B4C41884-BA24-480D-99BA-9EE3AC8C3B88}" name="S.No" dataDxfId="32"/>
    <tableColumn id="2" xr3:uid="{76F837DD-945C-47FF-8EBE-7D0FC619A63F}" name="Assumption" dataDxfId="31"/>
  </tableColumns>
  <tableStyleInfo name="SCIL_Corporate_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266A7-3403-4261-BBAB-9E45B74E51D7}" name="Table3512" displayName="Table3512" ref="D3:E33" totalsRowShown="0" headerRowDxfId="30" dataDxfId="29">
  <autoFilter ref="D3:E33" xr:uid="{F3D266A7-3403-4261-BBAB-9E45B74E51D7}">
    <filterColumn colId="0" hiddenButton="1"/>
    <filterColumn colId="1" hiddenButton="1"/>
  </autoFilter>
  <tableColumns count="2">
    <tableColumn id="1" xr3:uid="{EB09ED48-E361-4E0C-8156-C43191C2DFDD}" name="S.No" dataDxfId="28"/>
    <tableColumn id="2" xr3:uid="{3AA222AC-2C5F-462D-8BF8-CA9667901E6F}" name="Customer Support" dataDxfId="27"/>
  </tableColumns>
  <tableStyleInfo name="SCIL_Corporate_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2950941-A5A4-4DC4-8209-BD25F8949256}" name="Table351213" displayName="Table351213" ref="G3:H30" totalsRowShown="0" headerRowDxfId="26" dataDxfId="25">
  <autoFilter ref="G3:H30" xr:uid="{22950941-A5A4-4DC4-8209-BD25F8949256}">
    <filterColumn colId="0" hiddenButton="1"/>
    <filterColumn colId="1" hiddenButton="1"/>
  </autoFilter>
  <tableColumns count="2">
    <tableColumn id="1" xr3:uid="{F0C91D6D-DB8F-4581-918B-E13963912B61}" name="S.No" dataDxfId="24"/>
    <tableColumn id="2" xr3:uid="{011C2464-6038-4B69-A6A7-F4DEC288B145}" name="Out of Scope" dataDxfId="23"/>
  </tableColumns>
  <tableStyleInfo name="SCIL_Corporate_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133E9B-A1A3-4CB8-B674-C956B5D17617}" name="Table13" displayName="Table13" ref="A2:G43" totalsRowShown="0" headerRowDxfId="22" dataDxfId="20" headerRowBorderDxfId="21" tableBorderDxfId="19" totalsRowBorderDxfId="18" headerRowCellStyle="Check Cell">
  <autoFilter ref="A2:G43" xr:uid="{B6133E9B-A1A3-4CB8-B674-C956B5D17617}">
    <filterColumn colId="0" hiddenButton="1"/>
    <filterColumn colId="1" hiddenButton="1"/>
    <filterColumn colId="2" hiddenButton="1"/>
    <filterColumn colId="3" hiddenButton="1"/>
    <filterColumn colId="4" hiddenButton="1"/>
    <filterColumn colId="5" hiddenButton="1"/>
    <filterColumn colId="6" hiddenButton="1"/>
  </autoFilter>
  <sortState xmlns:xlrd2="http://schemas.microsoft.com/office/spreadsheetml/2017/richdata2" ref="A3:G43">
    <sortCondition ref="B9:B43"/>
  </sortState>
  <tableColumns count="7">
    <tableColumn id="1" xr3:uid="{00BB8D7E-4CB0-4623-AE10-7B5EC37D26BC}" name="S.No" dataDxfId="17"/>
    <tableColumn id="3" xr3:uid="{1F209E67-CABE-426B-ACAB-72CC12C52942}" name="Phase" dataDxfId="16"/>
    <tableColumn id="4" xr3:uid="{51AEB99F-7FD8-4706-937C-16529275116E}" name="Area" dataDxfId="15"/>
    <tableColumn id="5" xr3:uid="{B0062C0E-0245-4A6D-B6EC-2143412E69C4}" name="Activity" dataDxfId="14"/>
    <tableColumn id="10" xr3:uid="{0589ACE0-076D-4756-BEA9-9CBAC6E73784}" name="SCIL" dataDxfId="13"/>
    <tableColumn id="2" xr3:uid="{4542B579-0CC0-4BEF-97D5-4B71DC4879B3}" name="CUST" dataDxfId="12"/>
    <tableColumn id="11" xr3:uid="{A3DD2928-AB3B-47E6-B93F-63277D0BFE47}" name="ECST" dataDxfId="11"/>
  </tableColumns>
  <tableStyleInfo name="SCIL_Corporate_Tab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92E9-472C-408E-8C34-B9DCA3E84F4E}">
  <dimension ref="A1:AV20"/>
  <sheetViews>
    <sheetView zoomScale="80" zoomScaleNormal="80" workbookViewId="0">
      <selection activeCell="B6" sqref="B6:D6"/>
    </sheetView>
  </sheetViews>
  <sheetFormatPr defaultColWidth="0" defaultRowHeight="0" customHeight="1" zeroHeight="1" x14ac:dyDescent="0.3"/>
  <cols>
    <col min="1" max="1" width="47.44140625" style="3" customWidth="1"/>
    <col min="2" max="2" width="32.77734375" style="3" customWidth="1"/>
    <col min="3" max="3" width="17.5546875" style="3" customWidth="1"/>
    <col min="4" max="4" width="45.33203125" style="3" customWidth="1"/>
    <col min="5" max="6" width="16.44140625" style="3" customWidth="1"/>
    <col min="7" max="16384" width="9.109375" hidden="1"/>
  </cols>
  <sheetData>
    <row r="1" spans="1:48" ht="22.5" customHeight="1" thickBot="1" x14ac:dyDescent="0.35">
      <c r="A1" s="372" t="s">
        <v>347</v>
      </c>
      <c r="B1" s="372"/>
      <c r="C1" s="372"/>
      <c r="D1" s="372"/>
    </row>
    <row r="2" spans="1:48" ht="28.5" customHeight="1" x14ac:dyDescent="0.3">
      <c r="A2" s="79" t="s">
        <v>10</v>
      </c>
      <c r="B2" s="373"/>
      <c r="C2" s="374"/>
      <c r="D2" s="375"/>
      <c r="E2" s="379" t="e" vm="1">
        <v>#VALUE!</v>
      </c>
      <c r="F2" s="380"/>
    </row>
    <row r="3" spans="1:48" ht="28.5" customHeight="1" x14ac:dyDescent="0.3">
      <c r="A3" s="80" t="s">
        <v>11</v>
      </c>
      <c r="B3" s="376"/>
      <c r="C3" s="377"/>
      <c r="D3" s="378"/>
      <c r="E3" s="379"/>
      <c r="F3" s="380"/>
    </row>
    <row r="4" spans="1:48" ht="28.5" customHeight="1" x14ac:dyDescent="0.3">
      <c r="A4" s="80" t="s">
        <v>12</v>
      </c>
      <c r="B4" s="376"/>
      <c r="C4" s="377"/>
      <c r="D4" s="378"/>
      <c r="E4" s="379"/>
      <c r="F4" s="380"/>
    </row>
    <row r="5" spans="1:48" ht="28.5" customHeight="1" x14ac:dyDescent="0.3">
      <c r="A5" s="80" t="s">
        <v>13</v>
      </c>
      <c r="B5" s="376"/>
      <c r="C5" s="377"/>
      <c r="D5" s="378"/>
      <c r="E5" s="379" t="e" vm="2">
        <v>#VALUE!</v>
      </c>
      <c r="F5" s="380"/>
    </row>
    <row r="6" spans="1:48" ht="28.5" customHeight="1" thickBot="1" x14ac:dyDescent="0.35">
      <c r="A6" s="81" t="s">
        <v>14</v>
      </c>
      <c r="B6" s="385"/>
      <c r="C6" s="393"/>
      <c r="D6" s="394"/>
      <c r="E6" s="379"/>
      <c r="F6" s="380"/>
    </row>
    <row r="7" spans="1:48" ht="28.5" customHeight="1" thickBot="1" x14ac:dyDescent="0.35">
      <c r="A7" s="81" t="s">
        <v>17</v>
      </c>
      <c r="B7" s="82"/>
      <c r="C7" s="81" t="s">
        <v>221</v>
      </c>
      <c r="D7" s="83"/>
      <c r="E7" s="379"/>
      <c r="F7" s="380"/>
    </row>
    <row r="8" spans="1:48" ht="28.5" customHeight="1" thickBot="1" x14ac:dyDescent="0.35">
      <c r="A8" s="392"/>
      <c r="B8" s="392"/>
      <c r="C8" s="392"/>
      <c r="D8" s="392"/>
    </row>
    <row r="9" spans="1:48" ht="28.5" customHeight="1" x14ac:dyDescent="0.3">
      <c r="A9" s="79" t="s">
        <v>156</v>
      </c>
      <c r="B9" s="387"/>
      <c r="C9" s="388"/>
      <c r="D9" s="389"/>
    </row>
    <row r="10" spans="1:48" ht="28.5" customHeight="1" thickBot="1" x14ac:dyDescent="0.35">
      <c r="A10" s="81" t="s">
        <v>157</v>
      </c>
      <c r="B10" s="390"/>
      <c r="C10" s="385"/>
      <c r="D10" s="391"/>
    </row>
    <row r="11" spans="1:48" ht="28.5" customHeight="1" thickBot="1" x14ac:dyDescent="0.35">
      <c r="A11" s="392"/>
      <c r="B11" s="392"/>
      <c r="C11" s="392"/>
      <c r="D11" s="392"/>
    </row>
    <row r="12" spans="1:48" ht="28.5" customHeight="1" x14ac:dyDescent="0.3">
      <c r="A12" s="84" t="s">
        <v>160</v>
      </c>
      <c r="B12" s="381" t="s">
        <v>15</v>
      </c>
      <c r="C12" s="382"/>
      <c r="D12" s="85" t="s">
        <v>16</v>
      </c>
    </row>
    <row r="13" spans="1:48" ht="28.5" customHeight="1" x14ac:dyDescent="0.3">
      <c r="A13" s="80" t="s">
        <v>158</v>
      </c>
      <c r="B13" s="383"/>
      <c r="C13" s="384"/>
      <c r="D13" s="86"/>
    </row>
    <row r="14" spans="1:48" ht="28.5" customHeight="1" thickBot="1" x14ac:dyDescent="0.35">
      <c r="A14" s="81" t="s">
        <v>159</v>
      </c>
      <c r="B14" s="385"/>
      <c r="C14" s="386"/>
      <c r="D14" s="87"/>
    </row>
    <row r="15" spans="1:48" ht="28.5" customHeight="1" x14ac:dyDescent="0.3"/>
    <row r="16" spans="1:48" ht="28.5" customHeight="1" x14ac:dyDescent="0.3">
      <c r="A16" s="371" t="s">
        <v>333</v>
      </c>
      <c r="B16" s="371"/>
      <c r="C16" s="371"/>
      <c r="D16" s="371"/>
      <c r="E16" s="371"/>
      <c r="F16" s="371"/>
      <c r="G16" s="371"/>
      <c r="H16" s="371"/>
      <c r="I16" s="371"/>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c r="AG16" s="371"/>
      <c r="AH16" s="371"/>
      <c r="AI16" s="371"/>
      <c r="AJ16" s="371"/>
      <c r="AK16" s="371"/>
      <c r="AL16" s="371"/>
      <c r="AM16" s="371"/>
      <c r="AN16" s="371"/>
      <c r="AO16" s="371"/>
      <c r="AP16" s="371"/>
      <c r="AQ16" s="371"/>
      <c r="AR16" s="371"/>
      <c r="AS16" s="371"/>
      <c r="AT16" s="371"/>
      <c r="AU16" s="371"/>
      <c r="AV16" s="371"/>
    </row>
    <row r="17" spans="1:48" ht="14.25" customHeight="1" x14ac:dyDescent="0.3">
      <c r="A17" s="371"/>
      <c r="B17" s="371"/>
      <c r="C17" s="371"/>
      <c r="D17" s="371"/>
      <c r="E17" s="371"/>
      <c r="F17" s="371"/>
      <c r="G17" s="371"/>
      <c r="H17" s="371"/>
      <c r="I17" s="371"/>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c r="AG17" s="371"/>
      <c r="AH17" s="371"/>
      <c r="AI17" s="371"/>
      <c r="AJ17" s="371"/>
      <c r="AK17" s="371"/>
      <c r="AL17" s="371"/>
      <c r="AM17" s="371"/>
      <c r="AN17" s="371"/>
      <c r="AO17" s="371"/>
      <c r="AP17" s="371"/>
      <c r="AQ17" s="371"/>
      <c r="AR17" s="371"/>
      <c r="AS17" s="371"/>
      <c r="AT17" s="371"/>
      <c r="AU17" s="371"/>
      <c r="AV17" s="371"/>
    </row>
    <row r="18" spans="1:48" ht="14.25" customHeight="1" x14ac:dyDescent="0.3">
      <c r="A18" s="371"/>
      <c r="B18" s="371"/>
      <c r="C18" s="371"/>
      <c r="D18" s="371"/>
      <c r="E18" s="371"/>
      <c r="F18" s="371"/>
      <c r="G18" s="371"/>
      <c r="H18" s="371"/>
      <c r="I18" s="371"/>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c r="AG18" s="371"/>
      <c r="AH18" s="371"/>
      <c r="AI18" s="371"/>
      <c r="AJ18" s="371"/>
      <c r="AK18" s="371"/>
      <c r="AL18" s="371"/>
      <c r="AM18" s="371"/>
      <c r="AN18" s="371"/>
      <c r="AO18" s="371"/>
      <c r="AP18" s="371"/>
      <c r="AQ18" s="371"/>
      <c r="AR18" s="371"/>
      <c r="AS18" s="371"/>
      <c r="AT18" s="371"/>
      <c r="AU18" s="371"/>
      <c r="AV18" s="371"/>
    </row>
    <row r="19" spans="1:48" ht="14.25" customHeight="1" x14ac:dyDescent="0.3"/>
    <row r="20" spans="1:48" ht="14.25" customHeight="1" x14ac:dyDescent="0.3"/>
  </sheetData>
  <sheetProtection algorithmName="SHA-512" hashValue="ftYV5UoIf5eg0QheZfoYWVdvNUSFzbYs9bt1Wv8K5bjKMchf9rZYZpgQXSomJESnrcZNA4zjeT0+iCAH5h9mLA==" saltValue="LEX4xtqg9hxJFajhOnCaqA==" spinCount="100000" sheet="1" objects="1" scenarios="1"/>
  <mergeCells count="16">
    <mergeCell ref="A16:AV18"/>
    <mergeCell ref="A1:D1"/>
    <mergeCell ref="B2:D2"/>
    <mergeCell ref="B3:D3"/>
    <mergeCell ref="B4:D4"/>
    <mergeCell ref="B5:D5"/>
    <mergeCell ref="E2:F4"/>
    <mergeCell ref="B12:C12"/>
    <mergeCell ref="B13:C13"/>
    <mergeCell ref="B14:C14"/>
    <mergeCell ref="E5:F7"/>
    <mergeCell ref="B9:D9"/>
    <mergeCell ref="B10:D10"/>
    <mergeCell ref="A11:D11"/>
    <mergeCell ref="A8:D8"/>
    <mergeCell ref="B6:D6"/>
  </mergeCells>
  <pageMargins left="0.7" right="0.7" top="0.75" bottom="0.75" header="0.3" footer="0.3"/>
  <pageSetup orientation="portrait" r:id="rId1"/>
  <headerFooter>
    <oddHeader>&amp;C&amp;"Aptos"&amp;10&amp;K008000 Confidential GREEN&amp;1#_x000D_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44B9-92AA-4879-BC01-C6F460F59C4D}">
  <dimension ref="A1:M439"/>
  <sheetViews>
    <sheetView workbookViewId="0">
      <selection activeCell="C437" sqref="C437"/>
    </sheetView>
  </sheetViews>
  <sheetFormatPr defaultColWidth="0" defaultRowHeight="14.4" zeroHeight="1" x14ac:dyDescent="0.3"/>
  <cols>
    <col min="1" max="1" width="9.77734375" style="2" customWidth="1"/>
    <col min="2" max="2" width="19.21875" customWidth="1"/>
    <col min="3" max="3" width="36" customWidth="1"/>
    <col min="4" max="4" width="55.44140625" customWidth="1"/>
    <col min="5" max="5" width="51.109375" customWidth="1"/>
    <col min="6" max="7" width="8.88671875" customWidth="1"/>
    <col min="8" max="16384" width="8.88671875" hidden="1"/>
  </cols>
  <sheetData>
    <row r="1" spans="1:13" ht="15" customHeight="1" x14ac:dyDescent="0.3">
      <c r="A1" s="395" t="s">
        <v>321</v>
      </c>
      <c r="B1" s="395"/>
      <c r="C1" s="395"/>
      <c r="D1" s="395"/>
      <c r="E1" s="395"/>
      <c r="F1" s="100"/>
      <c r="G1" s="100"/>
      <c r="H1" s="100"/>
      <c r="I1" s="100"/>
      <c r="J1" s="100"/>
      <c r="K1" s="100"/>
      <c r="L1" s="100"/>
      <c r="M1" s="100"/>
    </row>
    <row r="2" spans="1:13" x14ac:dyDescent="0.3">
      <c r="A2" s="2" t="s">
        <v>132</v>
      </c>
      <c r="B2" s="78" t="s">
        <v>36</v>
      </c>
      <c r="C2" s="78" t="s">
        <v>319</v>
      </c>
      <c r="D2" s="78" t="s">
        <v>320</v>
      </c>
      <c r="E2" s="78" t="s">
        <v>292</v>
      </c>
      <c r="F2" s="1"/>
      <c r="G2" s="1"/>
    </row>
    <row r="3" spans="1:13" x14ac:dyDescent="0.3">
      <c r="A3" s="2">
        <v>1</v>
      </c>
      <c r="F3" s="1"/>
      <c r="G3" s="1"/>
    </row>
    <row r="4" spans="1:13" x14ac:dyDescent="0.3">
      <c r="A4" s="2">
        <v>2</v>
      </c>
      <c r="F4" s="1"/>
      <c r="G4" s="1"/>
    </row>
    <row r="5" spans="1:13" x14ac:dyDescent="0.3">
      <c r="A5" s="2">
        <v>3</v>
      </c>
      <c r="F5" s="1"/>
      <c r="G5" s="1"/>
    </row>
    <row r="6" spans="1:13" x14ac:dyDescent="0.3">
      <c r="A6" s="2">
        <v>4</v>
      </c>
      <c r="F6" s="1"/>
      <c r="G6" s="1"/>
    </row>
    <row r="7" spans="1:13" x14ac:dyDescent="0.3">
      <c r="A7" s="2">
        <v>5</v>
      </c>
      <c r="F7" s="1"/>
      <c r="G7" s="1"/>
    </row>
    <row r="8" spans="1:13" x14ac:dyDescent="0.3">
      <c r="A8" s="2">
        <v>6</v>
      </c>
      <c r="F8" s="1"/>
      <c r="G8" s="1"/>
    </row>
    <row r="9" spans="1:13" x14ac:dyDescent="0.3">
      <c r="A9" s="2">
        <v>7</v>
      </c>
      <c r="F9" s="1"/>
      <c r="G9" s="1"/>
    </row>
    <row r="10" spans="1:13" x14ac:dyDescent="0.3">
      <c r="A10" s="2">
        <v>8</v>
      </c>
      <c r="F10" s="1"/>
      <c r="G10" s="1"/>
    </row>
    <row r="11" spans="1:13" x14ac:dyDescent="0.3">
      <c r="A11" s="2">
        <v>9</v>
      </c>
      <c r="F11" s="1"/>
      <c r="G11" s="1"/>
    </row>
    <row r="12" spans="1:13" x14ac:dyDescent="0.3">
      <c r="A12" s="2">
        <v>10</v>
      </c>
      <c r="F12" s="1"/>
      <c r="G12" s="1"/>
    </row>
    <row r="13" spans="1:13" x14ac:dyDescent="0.3">
      <c r="A13" s="2">
        <v>11</v>
      </c>
      <c r="F13" s="1"/>
      <c r="G13" s="1"/>
    </row>
    <row r="14" spans="1:13" x14ac:dyDescent="0.3">
      <c r="A14" s="2">
        <v>12</v>
      </c>
      <c r="F14" s="1"/>
      <c r="G14" s="1"/>
    </row>
    <row r="15" spans="1:13" x14ac:dyDescent="0.3">
      <c r="A15" s="2">
        <v>13</v>
      </c>
      <c r="F15" s="1"/>
      <c r="G15" s="1"/>
    </row>
    <row r="16" spans="1:13" x14ac:dyDescent="0.3">
      <c r="A16" s="2">
        <v>14</v>
      </c>
      <c r="F16" s="1"/>
      <c r="G16" s="1"/>
    </row>
    <row r="17" spans="1:7" x14ac:dyDescent="0.3">
      <c r="A17" s="2">
        <v>15</v>
      </c>
      <c r="F17" s="1"/>
      <c r="G17" s="1"/>
    </row>
    <row r="18" spans="1:7" x14ac:dyDescent="0.3">
      <c r="A18" s="2">
        <v>16</v>
      </c>
      <c r="F18" s="1"/>
      <c r="G18" s="1"/>
    </row>
    <row r="19" spans="1:7" x14ac:dyDescent="0.3">
      <c r="A19" s="2">
        <v>17</v>
      </c>
      <c r="F19" s="1"/>
      <c r="G19" s="1"/>
    </row>
    <row r="20" spans="1:7" x14ac:dyDescent="0.3">
      <c r="A20" s="2">
        <v>18</v>
      </c>
      <c r="F20" s="1"/>
      <c r="G20" s="1"/>
    </row>
    <row r="21" spans="1:7" x14ac:dyDescent="0.3">
      <c r="A21" s="2">
        <v>19</v>
      </c>
      <c r="F21" s="1"/>
      <c r="G21" s="1"/>
    </row>
    <row r="22" spans="1:7" x14ac:dyDescent="0.3">
      <c r="A22" s="2">
        <v>20</v>
      </c>
      <c r="F22" s="1"/>
      <c r="G22" s="1"/>
    </row>
    <row r="23" spans="1:7" x14ac:dyDescent="0.3">
      <c r="A23" s="2">
        <v>21</v>
      </c>
      <c r="F23" s="1"/>
      <c r="G23" s="1"/>
    </row>
    <row r="24" spans="1:7" x14ac:dyDescent="0.3">
      <c r="A24" s="2">
        <v>22</v>
      </c>
      <c r="F24" s="1"/>
      <c r="G24" s="1"/>
    </row>
    <row r="25" spans="1:7" x14ac:dyDescent="0.3">
      <c r="A25" s="2">
        <v>23</v>
      </c>
      <c r="F25" s="1"/>
      <c r="G25" s="1"/>
    </row>
    <row r="26" spans="1:7" x14ac:dyDescent="0.3">
      <c r="A26" s="2">
        <v>24</v>
      </c>
      <c r="F26" s="1"/>
      <c r="G26" s="1"/>
    </row>
    <row r="27" spans="1:7" x14ac:dyDescent="0.3">
      <c r="A27" s="2">
        <v>25</v>
      </c>
      <c r="F27" s="1"/>
      <c r="G27" s="1"/>
    </row>
    <row r="28" spans="1:7" x14ac:dyDescent="0.3">
      <c r="A28" s="2">
        <v>26</v>
      </c>
      <c r="F28" s="1"/>
      <c r="G28" s="1"/>
    </row>
    <row r="29" spans="1:7" x14ac:dyDescent="0.3">
      <c r="A29" s="2">
        <v>27</v>
      </c>
      <c r="F29" s="1"/>
      <c r="G29" s="1"/>
    </row>
    <row r="30" spans="1:7" x14ac:dyDescent="0.3">
      <c r="A30" s="2">
        <v>28</v>
      </c>
      <c r="F30" s="1"/>
      <c r="G30" s="1"/>
    </row>
    <row r="31" spans="1:7" x14ac:dyDescent="0.3">
      <c r="A31" s="2">
        <v>29</v>
      </c>
      <c r="F31" s="1"/>
      <c r="G31" s="1"/>
    </row>
    <row r="32" spans="1:7" x14ac:dyDescent="0.3">
      <c r="A32" s="2">
        <v>30</v>
      </c>
      <c r="F32" s="1"/>
      <c r="G32" s="1"/>
    </row>
    <row r="33" spans="1:7" x14ac:dyDescent="0.3">
      <c r="A33" s="2">
        <v>31</v>
      </c>
      <c r="F33" s="1"/>
      <c r="G33" s="1"/>
    </row>
    <row r="34" spans="1:7" x14ac:dyDescent="0.3">
      <c r="A34" s="2">
        <v>32</v>
      </c>
      <c r="F34" s="1"/>
      <c r="G34" s="1"/>
    </row>
    <row r="35" spans="1:7" x14ac:dyDescent="0.3">
      <c r="A35" s="2">
        <v>33</v>
      </c>
      <c r="F35" s="1"/>
      <c r="G35" s="1"/>
    </row>
    <row r="36" spans="1:7" x14ac:dyDescent="0.3">
      <c r="A36" s="2">
        <v>34</v>
      </c>
      <c r="F36" s="1"/>
      <c r="G36" s="1"/>
    </row>
    <row r="37" spans="1:7" x14ac:dyDescent="0.3">
      <c r="A37" s="2">
        <v>35</v>
      </c>
      <c r="F37" s="1"/>
      <c r="G37" s="1"/>
    </row>
    <row r="38" spans="1:7" x14ac:dyDescent="0.3">
      <c r="A38" s="2">
        <v>36</v>
      </c>
      <c r="F38" s="1"/>
      <c r="G38" s="1"/>
    </row>
    <row r="39" spans="1:7" x14ac:dyDescent="0.3">
      <c r="A39" s="2">
        <v>37</v>
      </c>
      <c r="F39" s="1"/>
      <c r="G39" s="1"/>
    </row>
    <row r="40" spans="1:7" x14ac:dyDescent="0.3">
      <c r="A40" s="2">
        <v>38</v>
      </c>
      <c r="F40" s="1"/>
      <c r="G40" s="1"/>
    </row>
    <row r="41" spans="1:7" x14ac:dyDescent="0.3">
      <c r="A41" s="2">
        <v>39</v>
      </c>
      <c r="F41" s="1"/>
      <c r="G41" s="1"/>
    </row>
    <row r="42" spans="1:7" x14ac:dyDescent="0.3">
      <c r="A42" s="2">
        <v>40</v>
      </c>
      <c r="F42" s="1"/>
      <c r="G42" s="1"/>
    </row>
    <row r="43" spans="1:7" x14ac:dyDescent="0.3">
      <c r="A43" s="2">
        <v>41</v>
      </c>
      <c r="F43" s="1"/>
      <c r="G43" s="1"/>
    </row>
    <row r="44" spans="1:7" x14ac:dyDescent="0.3">
      <c r="A44" s="2">
        <v>42</v>
      </c>
      <c r="F44" s="1"/>
      <c r="G44" s="1"/>
    </row>
    <row r="45" spans="1:7" x14ac:dyDescent="0.3">
      <c r="A45" s="2">
        <v>43</v>
      </c>
      <c r="F45" s="1"/>
      <c r="G45" s="1"/>
    </row>
    <row r="46" spans="1:7" x14ac:dyDescent="0.3">
      <c r="A46" s="2">
        <v>44</v>
      </c>
      <c r="F46" s="1"/>
      <c r="G46" s="1"/>
    </row>
    <row r="47" spans="1:7" x14ac:dyDescent="0.3">
      <c r="A47" s="2">
        <v>45</v>
      </c>
      <c r="F47" s="1"/>
      <c r="G47" s="1"/>
    </row>
    <row r="48" spans="1:7" x14ac:dyDescent="0.3">
      <c r="A48" s="2">
        <v>46</v>
      </c>
      <c r="F48" s="1"/>
      <c r="G48" s="1"/>
    </row>
    <row r="49" spans="1:7" x14ac:dyDescent="0.3">
      <c r="A49" s="2">
        <v>47</v>
      </c>
      <c r="F49" s="1"/>
      <c r="G49" s="1"/>
    </row>
    <row r="50" spans="1:7" x14ac:dyDescent="0.3">
      <c r="A50" s="2">
        <v>48</v>
      </c>
      <c r="F50" s="1"/>
      <c r="G50" s="1"/>
    </row>
    <row r="51" spans="1:7" x14ac:dyDescent="0.3">
      <c r="A51" s="2">
        <v>49</v>
      </c>
      <c r="F51" s="1"/>
      <c r="G51" s="1"/>
    </row>
    <row r="52" spans="1:7" x14ac:dyDescent="0.3">
      <c r="A52" s="2">
        <v>50</v>
      </c>
      <c r="F52" s="1"/>
      <c r="G52" s="1"/>
    </row>
    <row r="53" spans="1:7" x14ac:dyDescent="0.3">
      <c r="A53" s="2">
        <v>51</v>
      </c>
      <c r="F53" s="1"/>
      <c r="G53" s="1"/>
    </row>
    <row r="54" spans="1:7" x14ac:dyDescent="0.3">
      <c r="A54" s="2">
        <v>52</v>
      </c>
      <c r="F54" s="1"/>
      <c r="G54" s="1"/>
    </row>
    <row r="55" spans="1:7" x14ac:dyDescent="0.3">
      <c r="A55" s="2">
        <v>53</v>
      </c>
      <c r="F55" s="1"/>
      <c r="G55" s="1"/>
    </row>
    <row r="56" spans="1:7" x14ac:dyDescent="0.3">
      <c r="A56" s="2">
        <v>54</v>
      </c>
      <c r="F56" s="1"/>
      <c r="G56" s="1"/>
    </row>
    <row r="57" spans="1:7" x14ac:dyDescent="0.3">
      <c r="A57" s="2">
        <v>55</v>
      </c>
      <c r="F57" s="1"/>
      <c r="G57" s="1"/>
    </row>
    <row r="58" spans="1:7" x14ac:dyDescent="0.3">
      <c r="A58" s="2">
        <v>56</v>
      </c>
      <c r="F58" s="1"/>
      <c r="G58" s="1"/>
    </row>
    <row r="59" spans="1:7" x14ac:dyDescent="0.3">
      <c r="A59" s="2">
        <v>57</v>
      </c>
      <c r="F59" s="1"/>
      <c r="G59" s="1"/>
    </row>
    <row r="60" spans="1:7" x14ac:dyDescent="0.3">
      <c r="A60" s="2">
        <v>58</v>
      </c>
      <c r="F60" s="1"/>
      <c r="G60" s="1"/>
    </row>
    <row r="61" spans="1:7" x14ac:dyDescent="0.3">
      <c r="A61" s="2">
        <v>59</v>
      </c>
      <c r="F61" s="1"/>
      <c r="G61" s="1"/>
    </row>
    <row r="62" spans="1:7" x14ac:dyDescent="0.3">
      <c r="A62" s="2">
        <v>60</v>
      </c>
      <c r="F62" s="1"/>
      <c r="G62" s="1"/>
    </row>
    <row r="63" spans="1:7" x14ac:dyDescent="0.3">
      <c r="A63" s="2">
        <v>61</v>
      </c>
      <c r="F63" s="1"/>
      <c r="G63" s="1"/>
    </row>
    <row r="64" spans="1:7" x14ac:dyDescent="0.3">
      <c r="A64" s="2">
        <v>62</v>
      </c>
      <c r="F64" s="1"/>
      <c r="G64" s="1"/>
    </row>
    <row r="65" spans="1:7" x14ac:dyDescent="0.3">
      <c r="A65" s="2">
        <v>63</v>
      </c>
      <c r="F65" s="1"/>
      <c r="G65" s="1"/>
    </row>
    <row r="66" spans="1:7" x14ac:dyDescent="0.3">
      <c r="A66" s="2">
        <v>64</v>
      </c>
      <c r="F66" s="1"/>
      <c r="G66" s="1"/>
    </row>
    <row r="67" spans="1:7" x14ac:dyDescent="0.3">
      <c r="A67" s="2">
        <v>65</v>
      </c>
      <c r="F67" s="1"/>
      <c r="G67" s="1"/>
    </row>
    <row r="68" spans="1:7" x14ac:dyDescent="0.3">
      <c r="A68" s="2">
        <v>66</v>
      </c>
      <c r="F68" s="1"/>
      <c r="G68" s="1"/>
    </row>
    <row r="69" spans="1:7" x14ac:dyDescent="0.3">
      <c r="A69" s="2">
        <v>67</v>
      </c>
      <c r="F69" s="1"/>
      <c r="G69" s="1"/>
    </row>
    <row r="70" spans="1:7" x14ac:dyDescent="0.3">
      <c r="A70" s="2">
        <v>68</v>
      </c>
      <c r="F70" s="1"/>
      <c r="G70" s="1"/>
    </row>
    <row r="71" spans="1:7" x14ac:dyDescent="0.3">
      <c r="A71" s="2">
        <v>69</v>
      </c>
      <c r="F71" s="1"/>
      <c r="G71" s="1"/>
    </row>
    <row r="72" spans="1:7" x14ac:dyDescent="0.3">
      <c r="A72" s="2">
        <v>70</v>
      </c>
      <c r="F72" s="1"/>
      <c r="G72" s="1"/>
    </row>
    <row r="73" spans="1:7" x14ac:dyDescent="0.3">
      <c r="A73" s="2">
        <v>71</v>
      </c>
      <c r="F73" s="1"/>
      <c r="G73" s="1"/>
    </row>
    <row r="74" spans="1:7" x14ac:dyDescent="0.3">
      <c r="A74" s="2">
        <v>72</v>
      </c>
      <c r="F74" s="1"/>
      <c r="G74" s="1"/>
    </row>
    <row r="75" spans="1:7" x14ac:dyDescent="0.3">
      <c r="A75" s="2">
        <v>73</v>
      </c>
      <c r="F75" s="1"/>
      <c r="G75" s="1"/>
    </row>
    <row r="76" spans="1:7" x14ac:dyDescent="0.3">
      <c r="A76" s="2">
        <v>74</v>
      </c>
      <c r="F76" s="1"/>
      <c r="G76" s="1"/>
    </row>
    <row r="77" spans="1:7" x14ac:dyDescent="0.3">
      <c r="A77" s="2">
        <v>75</v>
      </c>
      <c r="F77" s="1"/>
      <c r="G77" s="1"/>
    </row>
    <row r="78" spans="1:7" x14ac:dyDescent="0.3">
      <c r="A78" s="2">
        <v>76</v>
      </c>
      <c r="F78" s="1"/>
      <c r="G78" s="1"/>
    </row>
    <row r="79" spans="1:7" x14ac:dyDescent="0.3">
      <c r="A79" s="2">
        <v>77</v>
      </c>
      <c r="F79" s="1"/>
      <c r="G79" s="1"/>
    </row>
    <row r="80" spans="1:7" x14ac:dyDescent="0.3">
      <c r="A80" s="2">
        <v>78</v>
      </c>
      <c r="F80" s="1"/>
      <c r="G80" s="1"/>
    </row>
    <row r="81" spans="1:7" x14ac:dyDescent="0.3">
      <c r="A81" s="2">
        <v>79</v>
      </c>
      <c r="F81" s="1"/>
      <c r="G81" s="1"/>
    </row>
    <row r="82" spans="1:7" x14ac:dyDescent="0.3">
      <c r="A82" s="2">
        <v>80</v>
      </c>
      <c r="F82" s="1"/>
      <c r="G82" s="1"/>
    </row>
    <row r="83" spans="1:7" x14ac:dyDescent="0.3">
      <c r="A83" s="2">
        <v>81</v>
      </c>
      <c r="F83" s="1"/>
      <c r="G83" s="1"/>
    </row>
    <row r="84" spans="1:7" x14ac:dyDescent="0.3">
      <c r="A84" s="2">
        <v>82</v>
      </c>
      <c r="F84" s="1"/>
      <c r="G84" s="1"/>
    </row>
    <row r="85" spans="1:7" x14ac:dyDescent="0.3">
      <c r="A85" s="2">
        <v>83</v>
      </c>
      <c r="F85" s="1"/>
      <c r="G85" s="1"/>
    </row>
    <row r="86" spans="1:7" x14ac:dyDescent="0.3">
      <c r="A86" s="2">
        <v>84</v>
      </c>
      <c r="F86" s="1"/>
      <c r="G86" s="1"/>
    </row>
    <row r="87" spans="1:7" x14ac:dyDescent="0.3">
      <c r="A87" s="2">
        <v>85</v>
      </c>
      <c r="F87" s="1"/>
      <c r="G87" s="1"/>
    </row>
    <row r="88" spans="1:7" x14ac:dyDescent="0.3">
      <c r="A88" s="2">
        <v>86</v>
      </c>
      <c r="F88" s="1"/>
      <c r="G88" s="1"/>
    </row>
    <row r="89" spans="1:7" x14ac:dyDescent="0.3">
      <c r="A89" s="2">
        <v>87</v>
      </c>
      <c r="F89" s="1"/>
      <c r="G89" s="1"/>
    </row>
    <row r="90" spans="1:7" x14ac:dyDescent="0.3">
      <c r="A90" s="2">
        <v>88</v>
      </c>
      <c r="F90" s="1"/>
      <c r="G90" s="1"/>
    </row>
    <row r="91" spans="1:7" x14ac:dyDescent="0.3">
      <c r="A91" s="2">
        <v>89</v>
      </c>
      <c r="F91" s="1"/>
      <c r="G91" s="1"/>
    </row>
    <row r="92" spans="1:7" x14ac:dyDescent="0.3">
      <c r="A92" s="2">
        <v>90</v>
      </c>
      <c r="F92" s="1"/>
      <c r="G92" s="1"/>
    </row>
    <row r="93" spans="1:7" x14ac:dyDescent="0.3">
      <c r="A93" s="2">
        <v>91</v>
      </c>
      <c r="F93" s="1"/>
      <c r="G93" s="1"/>
    </row>
    <row r="94" spans="1:7" x14ac:dyDescent="0.3">
      <c r="A94" s="2">
        <v>92</v>
      </c>
      <c r="F94" s="1"/>
      <c r="G94" s="1"/>
    </row>
    <row r="95" spans="1:7" x14ac:dyDescent="0.3">
      <c r="A95" s="2">
        <v>93</v>
      </c>
      <c r="F95" s="1"/>
      <c r="G95" s="1"/>
    </row>
    <row r="96" spans="1:7" x14ac:dyDescent="0.3">
      <c r="A96" s="2">
        <v>94</v>
      </c>
      <c r="F96" s="1"/>
      <c r="G96" s="1"/>
    </row>
    <row r="97" spans="1:7" x14ac:dyDescent="0.3">
      <c r="A97" s="2">
        <v>95</v>
      </c>
      <c r="F97" s="1"/>
      <c r="G97" s="1"/>
    </row>
    <row r="98" spans="1:7" x14ac:dyDescent="0.3">
      <c r="A98" s="2">
        <v>96</v>
      </c>
      <c r="F98" s="1"/>
      <c r="G98" s="1"/>
    </row>
    <row r="99" spans="1:7" x14ac:dyDescent="0.3">
      <c r="A99" s="2">
        <v>97</v>
      </c>
      <c r="F99" s="1"/>
      <c r="G99" s="1"/>
    </row>
    <row r="100" spans="1:7" x14ac:dyDescent="0.3">
      <c r="A100" s="2">
        <v>98</v>
      </c>
      <c r="F100" s="1"/>
      <c r="G100" s="1"/>
    </row>
    <row r="101" spans="1:7" x14ac:dyDescent="0.3">
      <c r="A101" s="2">
        <v>99</v>
      </c>
      <c r="F101" s="1"/>
      <c r="G101" s="1"/>
    </row>
    <row r="102" spans="1:7" x14ac:dyDescent="0.3">
      <c r="A102" s="2">
        <v>100</v>
      </c>
      <c r="F102" s="1"/>
      <c r="G102" s="1"/>
    </row>
    <row r="103" spans="1:7" x14ac:dyDescent="0.3">
      <c r="A103" s="2">
        <v>101</v>
      </c>
      <c r="F103" s="1"/>
      <c r="G103" s="1"/>
    </row>
    <row r="104" spans="1:7" x14ac:dyDescent="0.3">
      <c r="A104" s="2">
        <v>102</v>
      </c>
      <c r="F104" s="1"/>
      <c r="G104" s="1"/>
    </row>
    <row r="105" spans="1:7" x14ac:dyDescent="0.3">
      <c r="A105" s="2">
        <v>103</v>
      </c>
      <c r="F105" s="1"/>
      <c r="G105" s="1"/>
    </row>
    <row r="106" spans="1:7" x14ac:dyDescent="0.3">
      <c r="A106" s="2">
        <v>104</v>
      </c>
      <c r="F106" s="1"/>
      <c r="G106" s="1"/>
    </row>
    <row r="107" spans="1:7" x14ac:dyDescent="0.3">
      <c r="A107" s="2">
        <v>105</v>
      </c>
      <c r="F107" s="1"/>
      <c r="G107" s="1"/>
    </row>
    <row r="108" spans="1:7" x14ac:dyDescent="0.3">
      <c r="A108" s="2">
        <v>106</v>
      </c>
      <c r="F108" s="1"/>
      <c r="G108" s="1"/>
    </row>
    <row r="109" spans="1:7" x14ac:dyDescent="0.3">
      <c r="A109" s="2">
        <v>107</v>
      </c>
      <c r="F109" s="1"/>
      <c r="G109" s="1"/>
    </row>
    <row r="110" spans="1:7" x14ac:dyDescent="0.3">
      <c r="A110" s="2">
        <v>108</v>
      </c>
      <c r="F110" s="1"/>
      <c r="G110" s="1"/>
    </row>
    <row r="111" spans="1:7" x14ac:dyDescent="0.3">
      <c r="A111" s="2">
        <v>109</v>
      </c>
      <c r="F111" s="1"/>
      <c r="G111" s="1"/>
    </row>
    <row r="112" spans="1:7" x14ac:dyDescent="0.3">
      <c r="A112" s="2">
        <v>110</v>
      </c>
      <c r="F112" s="1"/>
      <c r="G112" s="1"/>
    </row>
    <row r="113" spans="1:7" x14ac:dyDescent="0.3">
      <c r="A113" s="2">
        <v>111</v>
      </c>
      <c r="F113" s="1"/>
      <c r="G113" s="1"/>
    </row>
    <row r="114" spans="1:7" x14ac:dyDescent="0.3">
      <c r="A114" s="2">
        <v>112</v>
      </c>
      <c r="F114" s="1"/>
      <c r="G114" s="1"/>
    </row>
    <row r="115" spans="1:7" x14ac:dyDescent="0.3">
      <c r="A115" s="2">
        <v>113</v>
      </c>
      <c r="F115" s="1"/>
      <c r="G115" s="1"/>
    </row>
    <row r="116" spans="1:7" x14ac:dyDescent="0.3">
      <c r="A116" s="2">
        <v>114</v>
      </c>
      <c r="F116" s="1"/>
      <c r="G116" s="1"/>
    </row>
    <row r="117" spans="1:7" x14ac:dyDescent="0.3">
      <c r="A117" s="2">
        <v>115</v>
      </c>
      <c r="F117" s="1"/>
      <c r="G117" s="1"/>
    </row>
    <row r="118" spans="1:7" x14ac:dyDescent="0.3">
      <c r="A118" s="2">
        <v>116</v>
      </c>
      <c r="F118" s="1"/>
      <c r="G118" s="1"/>
    </row>
    <row r="119" spans="1:7" x14ac:dyDescent="0.3">
      <c r="A119" s="2">
        <v>117</v>
      </c>
      <c r="F119" s="1"/>
      <c r="G119" s="1"/>
    </row>
    <row r="120" spans="1:7" x14ac:dyDescent="0.3">
      <c r="A120" s="2">
        <v>118</v>
      </c>
      <c r="F120" s="1"/>
      <c r="G120" s="1"/>
    </row>
    <row r="121" spans="1:7" x14ac:dyDescent="0.3">
      <c r="A121" s="2">
        <v>119</v>
      </c>
      <c r="F121" s="1"/>
      <c r="G121" s="1"/>
    </row>
    <row r="122" spans="1:7" x14ac:dyDescent="0.3">
      <c r="A122" s="2">
        <v>120</v>
      </c>
      <c r="F122" s="1"/>
      <c r="G122" s="1"/>
    </row>
    <row r="123" spans="1:7" x14ac:dyDescent="0.3">
      <c r="A123" s="2">
        <v>121</v>
      </c>
      <c r="F123" s="1"/>
      <c r="G123" s="1"/>
    </row>
    <row r="124" spans="1:7" x14ac:dyDescent="0.3">
      <c r="A124" s="2">
        <v>122</v>
      </c>
      <c r="F124" s="1"/>
      <c r="G124" s="1"/>
    </row>
    <row r="125" spans="1:7" x14ac:dyDescent="0.3">
      <c r="A125" s="2">
        <v>123</v>
      </c>
      <c r="F125" s="1"/>
      <c r="G125" s="1"/>
    </row>
    <row r="126" spans="1:7" x14ac:dyDescent="0.3">
      <c r="A126" s="2">
        <v>124</v>
      </c>
      <c r="F126" s="1"/>
      <c r="G126" s="1"/>
    </row>
    <row r="127" spans="1:7" x14ac:dyDescent="0.3">
      <c r="A127" s="2">
        <v>125</v>
      </c>
      <c r="F127" s="1"/>
      <c r="G127" s="1"/>
    </row>
    <row r="128" spans="1:7" x14ac:dyDescent="0.3">
      <c r="A128" s="2">
        <v>126</v>
      </c>
      <c r="F128" s="1"/>
      <c r="G128" s="1"/>
    </row>
    <row r="129" spans="1:7" x14ac:dyDescent="0.3">
      <c r="A129" s="2">
        <v>127</v>
      </c>
      <c r="F129" s="1"/>
      <c r="G129" s="1"/>
    </row>
    <row r="130" spans="1:7" x14ac:dyDescent="0.3">
      <c r="A130" s="2">
        <v>128</v>
      </c>
      <c r="F130" s="1"/>
      <c r="G130" s="1"/>
    </row>
    <row r="131" spans="1:7" x14ac:dyDescent="0.3">
      <c r="A131" s="2">
        <v>129</v>
      </c>
      <c r="F131" s="1"/>
      <c r="G131" s="1"/>
    </row>
    <row r="132" spans="1:7" x14ac:dyDescent="0.3">
      <c r="A132" s="2">
        <v>130</v>
      </c>
      <c r="F132" s="1"/>
      <c r="G132" s="1"/>
    </row>
    <row r="133" spans="1:7" x14ac:dyDescent="0.3">
      <c r="A133" s="2">
        <v>131</v>
      </c>
      <c r="F133" s="1"/>
      <c r="G133" s="1"/>
    </row>
    <row r="134" spans="1:7" x14ac:dyDescent="0.3">
      <c r="A134" s="2">
        <v>132</v>
      </c>
      <c r="F134" s="1"/>
      <c r="G134" s="1"/>
    </row>
    <row r="135" spans="1:7" x14ac:dyDescent="0.3">
      <c r="A135" s="2">
        <v>133</v>
      </c>
      <c r="F135" s="1"/>
      <c r="G135" s="1"/>
    </row>
    <row r="136" spans="1:7" x14ac:dyDescent="0.3">
      <c r="A136" s="2">
        <v>134</v>
      </c>
      <c r="F136" s="1"/>
      <c r="G136" s="1"/>
    </row>
    <row r="137" spans="1:7" x14ac:dyDescent="0.3">
      <c r="A137" s="2">
        <v>135</v>
      </c>
      <c r="F137" s="1"/>
      <c r="G137" s="1"/>
    </row>
    <row r="138" spans="1:7" x14ac:dyDescent="0.3">
      <c r="A138" s="2">
        <v>136</v>
      </c>
      <c r="F138" s="1"/>
      <c r="G138" s="1"/>
    </row>
    <row r="139" spans="1:7" x14ac:dyDescent="0.3">
      <c r="A139" s="2">
        <v>137</v>
      </c>
      <c r="F139" s="1"/>
      <c r="G139" s="1"/>
    </row>
    <row r="140" spans="1:7" x14ac:dyDescent="0.3">
      <c r="A140" s="2">
        <v>138</v>
      </c>
      <c r="F140" s="1"/>
      <c r="G140" s="1"/>
    </row>
    <row r="141" spans="1:7" x14ac:dyDescent="0.3">
      <c r="A141" s="2">
        <v>139</v>
      </c>
      <c r="F141" s="1"/>
      <c r="G141" s="1"/>
    </row>
    <row r="142" spans="1:7" x14ac:dyDescent="0.3">
      <c r="A142" s="2">
        <v>140</v>
      </c>
      <c r="F142" s="1"/>
      <c r="G142" s="1"/>
    </row>
    <row r="143" spans="1:7" x14ac:dyDescent="0.3">
      <c r="A143" s="2">
        <v>141</v>
      </c>
      <c r="F143" s="1"/>
      <c r="G143" s="1"/>
    </row>
    <row r="144" spans="1:7" x14ac:dyDescent="0.3">
      <c r="A144" s="2">
        <v>142</v>
      </c>
      <c r="F144" s="1"/>
      <c r="G144" s="1"/>
    </row>
    <row r="145" spans="1:7" x14ac:dyDescent="0.3">
      <c r="A145" s="2">
        <v>143</v>
      </c>
      <c r="F145" s="1"/>
      <c r="G145" s="1"/>
    </row>
    <row r="146" spans="1:7" x14ac:dyDescent="0.3">
      <c r="A146" s="2">
        <v>144</v>
      </c>
      <c r="F146" s="1"/>
      <c r="G146" s="1"/>
    </row>
    <row r="147" spans="1:7" x14ac:dyDescent="0.3">
      <c r="A147" s="2">
        <v>145</v>
      </c>
      <c r="F147" s="1"/>
      <c r="G147" s="1"/>
    </row>
    <row r="148" spans="1:7" x14ac:dyDescent="0.3">
      <c r="A148" s="2">
        <v>146</v>
      </c>
      <c r="F148" s="1"/>
      <c r="G148" s="1"/>
    </row>
    <row r="149" spans="1:7" x14ac:dyDescent="0.3">
      <c r="A149" s="2">
        <v>147</v>
      </c>
      <c r="F149" s="1"/>
      <c r="G149" s="1"/>
    </row>
    <row r="150" spans="1:7" x14ac:dyDescent="0.3">
      <c r="A150" s="2">
        <v>148</v>
      </c>
      <c r="F150" s="1"/>
      <c r="G150" s="1"/>
    </row>
    <row r="151" spans="1:7" x14ac:dyDescent="0.3">
      <c r="A151" s="2">
        <v>149</v>
      </c>
      <c r="F151" s="1"/>
      <c r="G151" s="1"/>
    </row>
    <row r="152" spans="1:7" x14ac:dyDescent="0.3">
      <c r="A152" s="2">
        <v>150</v>
      </c>
      <c r="F152" s="1"/>
      <c r="G152" s="1"/>
    </row>
    <row r="153" spans="1:7" x14ac:dyDescent="0.3">
      <c r="A153" s="2">
        <v>151</v>
      </c>
      <c r="F153" s="1"/>
      <c r="G153" s="1"/>
    </row>
    <row r="154" spans="1:7" x14ac:dyDescent="0.3">
      <c r="A154" s="2">
        <v>152</v>
      </c>
      <c r="F154" s="1"/>
      <c r="G154" s="1"/>
    </row>
    <row r="155" spans="1:7" x14ac:dyDescent="0.3">
      <c r="A155" s="2">
        <v>153</v>
      </c>
      <c r="F155" s="1"/>
      <c r="G155" s="1"/>
    </row>
    <row r="156" spans="1:7" x14ac:dyDescent="0.3">
      <c r="A156" s="2">
        <v>154</v>
      </c>
      <c r="F156" s="1"/>
      <c r="G156" s="1"/>
    </row>
    <row r="157" spans="1:7" x14ac:dyDescent="0.3">
      <c r="A157" s="2">
        <v>155</v>
      </c>
      <c r="F157" s="1"/>
      <c r="G157" s="1"/>
    </row>
    <row r="158" spans="1:7" x14ac:dyDescent="0.3">
      <c r="A158" s="2">
        <v>156</v>
      </c>
      <c r="F158" s="1"/>
      <c r="G158" s="1"/>
    </row>
    <row r="159" spans="1:7" x14ac:dyDescent="0.3">
      <c r="A159" s="2">
        <v>157</v>
      </c>
      <c r="F159" s="1"/>
      <c r="G159" s="1"/>
    </row>
    <row r="160" spans="1:7" x14ac:dyDescent="0.3">
      <c r="A160" s="2">
        <v>158</v>
      </c>
      <c r="F160" s="1"/>
      <c r="G160" s="1"/>
    </row>
    <row r="161" spans="1:7" x14ac:dyDescent="0.3">
      <c r="A161" s="2">
        <v>159</v>
      </c>
      <c r="F161" s="1"/>
      <c r="G161" s="1"/>
    </row>
    <row r="162" spans="1:7" x14ac:dyDescent="0.3">
      <c r="A162" s="2">
        <v>160</v>
      </c>
      <c r="F162" s="1"/>
      <c r="G162" s="1"/>
    </row>
    <row r="163" spans="1:7" x14ac:dyDescent="0.3">
      <c r="A163" s="2">
        <v>161</v>
      </c>
      <c r="F163" s="1"/>
      <c r="G163" s="1"/>
    </row>
    <row r="164" spans="1:7" x14ac:dyDescent="0.3">
      <c r="A164" s="2">
        <v>162</v>
      </c>
      <c r="F164" s="1"/>
      <c r="G164" s="1"/>
    </row>
    <row r="165" spans="1:7" x14ac:dyDescent="0.3">
      <c r="A165" s="2">
        <v>163</v>
      </c>
      <c r="F165" s="1"/>
      <c r="G165" s="1"/>
    </row>
    <row r="166" spans="1:7" x14ac:dyDescent="0.3">
      <c r="A166" s="2">
        <v>164</v>
      </c>
      <c r="F166" s="1"/>
      <c r="G166" s="1"/>
    </row>
    <row r="167" spans="1:7" x14ac:dyDescent="0.3">
      <c r="A167" s="2">
        <v>165</v>
      </c>
      <c r="F167" s="1"/>
      <c r="G167" s="1"/>
    </row>
    <row r="168" spans="1:7" x14ac:dyDescent="0.3">
      <c r="A168" s="2">
        <v>166</v>
      </c>
      <c r="F168" s="1"/>
      <c r="G168" s="1"/>
    </row>
    <row r="169" spans="1:7" x14ac:dyDescent="0.3">
      <c r="A169" s="2">
        <v>167</v>
      </c>
      <c r="F169" s="1"/>
      <c r="G169" s="1"/>
    </row>
    <row r="170" spans="1:7" x14ac:dyDescent="0.3">
      <c r="A170" s="2">
        <v>168</v>
      </c>
      <c r="F170" s="1"/>
      <c r="G170" s="1"/>
    </row>
    <row r="171" spans="1:7" x14ac:dyDescent="0.3">
      <c r="A171" s="2">
        <v>169</v>
      </c>
      <c r="F171" s="1"/>
      <c r="G171" s="1"/>
    </row>
    <row r="172" spans="1:7" x14ac:dyDescent="0.3">
      <c r="A172" s="2">
        <v>170</v>
      </c>
      <c r="F172" s="1"/>
      <c r="G172" s="1"/>
    </row>
    <row r="173" spans="1:7" x14ac:dyDescent="0.3">
      <c r="A173" s="2">
        <v>171</v>
      </c>
      <c r="F173" s="1"/>
      <c r="G173" s="1"/>
    </row>
    <row r="174" spans="1:7" x14ac:dyDescent="0.3">
      <c r="A174" s="2">
        <v>172</v>
      </c>
      <c r="F174" s="1"/>
      <c r="G174" s="1"/>
    </row>
    <row r="175" spans="1:7" x14ac:dyDescent="0.3">
      <c r="A175" s="2">
        <v>173</v>
      </c>
      <c r="F175" s="1"/>
      <c r="G175" s="1"/>
    </row>
    <row r="176" spans="1:7" x14ac:dyDescent="0.3">
      <c r="A176" s="2">
        <v>174</v>
      </c>
      <c r="F176" s="1"/>
      <c r="G176" s="1"/>
    </row>
    <row r="177" spans="1:7" x14ac:dyDescent="0.3">
      <c r="A177" s="2">
        <v>175</v>
      </c>
      <c r="F177" s="1"/>
      <c r="G177" s="1"/>
    </row>
    <row r="178" spans="1:7" x14ac:dyDescent="0.3">
      <c r="A178" s="2">
        <v>176</v>
      </c>
      <c r="F178" s="1"/>
      <c r="G178" s="1"/>
    </row>
    <row r="179" spans="1:7" x14ac:dyDescent="0.3">
      <c r="A179" s="2">
        <v>177</v>
      </c>
      <c r="F179" s="1"/>
      <c r="G179" s="1"/>
    </row>
    <row r="180" spans="1:7" x14ac:dyDescent="0.3">
      <c r="A180" s="2">
        <v>178</v>
      </c>
      <c r="F180" s="1"/>
      <c r="G180" s="1"/>
    </row>
    <row r="181" spans="1:7" x14ac:dyDescent="0.3">
      <c r="A181" s="2">
        <v>179</v>
      </c>
      <c r="F181" s="1"/>
      <c r="G181" s="1"/>
    </row>
    <row r="182" spans="1:7" x14ac:dyDescent="0.3">
      <c r="A182" s="2">
        <v>180</v>
      </c>
      <c r="F182" s="1"/>
      <c r="G182" s="1"/>
    </row>
    <row r="183" spans="1:7" x14ac:dyDescent="0.3">
      <c r="A183" s="2">
        <v>181</v>
      </c>
      <c r="F183" s="1"/>
      <c r="G183" s="1"/>
    </row>
    <row r="184" spans="1:7" x14ac:dyDescent="0.3">
      <c r="A184" s="2">
        <v>182</v>
      </c>
      <c r="F184" s="1"/>
      <c r="G184" s="1"/>
    </row>
    <row r="185" spans="1:7" x14ac:dyDescent="0.3">
      <c r="A185" s="2">
        <v>183</v>
      </c>
      <c r="F185" s="1"/>
      <c r="G185" s="1"/>
    </row>
    <row r="186" spans="1:7" x14ac:dyDescent="0.3">
      <c r="A186" s="2">
        <v>184</v>
      </c>
      <c r="F186" s="1"/>
      <c r="G186" s="1"/>
    </row>
    <row r="187" spans="1:7" x14ac:dyDescent="0.3">
      <c r="A187" s="2">
        <v>185</v>
      </c>
      <c r="F187" s="1"/>
      <c r="G187" s="1"/>
    </row>
    <row r="188" spans="1:7" x14ac:dyDescent="0.3">
      <c r="A188" s="2">
        <v>186</v>
      </c>
      <c r="F188" s="1"/>
      <c r="G188" s="1"/>
    </row>
    <row r="189" spans="1:7" x14ac:dyDescent="0.3">
      <c r="A189" s="2">
        <v>187</v>
      </c>
      <c r="F189" s="1"/>
      <c r="G189" s="1"/>
    </row>
    <row r="190" spans="1:7" x14ac:dyDescent="0.3">
      <c r="A190" s="2">
        <v>188</v>
      </c>
      <c r="F190" s="1"/>
      <c r="G190" s="1"/>
    </row>
    <row r="191" spans="1:7" x14ac:dyDescent="0.3">
      <c r="A191" s="2">
        <v>189</v>
      </c>
      <c r="F191" s="1"/>
      <c r="G191" s="1"/>
    </row>
    <row r="192" spans="1:7" x14ac:dyDescent="0.3">
      <c r="A192" s="2">
        <v>190</v>
      </c>
      <c r="F192" s="1"/>
      <c r="G192" s="1"/>
    </row>
    <row r="193" spans="1:7" x14ac:dyDescent="0.3">
      <c r="A193" s="2">
        <v>191</v>
      </c>
      <c r="F193" s="1"/>
      <c r="G193" s="1"/>
    </row>
    <row r="194" spans="1:7" x14ac:dyDescent="0.3">
      <c r="A194" s="2">
        <v>192</v>
      </c>
      <c r="F194" s="1"/>
      <c r="G194" s="1"/>
    </row>
    <row r="195" spans="1:7" x14ac:dyDescent="0.3">
      <c r="A195" s="2">
        <v>193</v>
      </c>
      <c r="F195" s="1"/>
      <c r="G195" s="1"/>
    </row>
    <row r="196" spans="1:7" x14ac:dyDescent="0.3">
      <c r="A196" s="2">
        <v>194</v>
      </c>
      <c r="F196" s="1"/>
      <c r="G196" s="1"/>
    </row>
    <row r="197" spans="1:7" x14ac:dyDescent="0.3">
      <c r="A197" s="2">
        <v>195</v>
      </c>
      <c r="F197" s="1"/>
      <c r="G197" s="1"/>
    </row>
    <row r="198" spans="1:7" x14ac:dyDescent="0.3">
      <c r="A198" s="2">
        <v>196</v>
      </c>
      <c r="F198" s="1"/>
      <c r="G198" s="1"/>
    </row>
    <row r="199" spans="1:7" x14ac:dyDescent="0.3">
      <c r="A199" s="2">
        <v>197</v>
      </c>
      <c r="F199" s="1"/>
      <c r="G199" s="1"/>
    </row>
    <row r="200" spans="1:7" x14ac:dyDescent="0.3">
      <c r="A200" s="2">
        <v>198</v>
      </c>
      <c r="F200" s="1"/>
      <c r="G200" s="1"/>
    </row>
    <row r="201" spans="1:7" x14ac:dyDescent="0.3">
      <c r="A201" s="2">
        <v>199</v>
      </c>
      <c r="F201" s="1"/>
      <c r="G201" s="1"/>
    </row>
    <row r="202" spans="1:7" x14ac:dyDescent="0.3">
      <c r="A202" s="2">
        <v>200</v>
      </c>
      <c r="F202" s="1"/>
      <c r="G202" s="1"/>
    </row>
    <row r="203" spans="1:7" x14ac:dyDescent="0.3">
      <c r="A203" s="2">
        <v>201</v>
      </c>
      <c r="F203" s="1"/>
      <c r="G203" s="1"/>
    </row>
    <row r="204" spans="1:7" x14ac:dyDescent="0.3">
      <c r="A204" s="2">
        <v>202</v>
      </c>
      <c r="F204" s="1"/>
      <c r="G204" s="1"/>
    </row>
    <row r="205" spans="1:7" x14ac:dyDescent="0.3">
      <c r="A205" s="2">
        <v>203</v>
      </c>
      <c r="F205" s="1"/>
      <c r="G205" s="1"/>
    </row>
    <row r="206" spans="1:7" x14ac:dyDescent="0.3">
      <c r="A206" s="2">
        <v>204</v>
      </c>
      <c r="F206" s="1"/>
      <c r="G206" s="1"/>
    </row>
    <row r="207" spans="1:7" x14ac:dyDescent="0.3">
      <c r="A207" s="2">
        <v>205</v>
      </c>
      <c r="F207" s="1"/>
      <c r="G207" s="1"/>
    </row>
    <row r="208" spans="1:7" x14ac:dyDescent="0.3">
      <c r="A208" s="2">
        <v>206</v>
      </c>
      <c r="F208" s="1"/>
      <c r="G208" s="1"/>
    </row>
    <row r="209" spans="1:7" x14ac:dyDescent="0.3">
      <c r="A209" s="2">
        <v>207</v>
      </c>
      <c r="F209" s="1"/>
      <c r="G209" s="1"/>
    </row>
    <row r="210" spans="1:7" x14ac:dyDescent="0.3">
      <c r="A210" s="2">
        <v>208</v>
      </c>
      <c r="F210" s="1"/>
      <c r="G210" s="1"/>
    </row>
    <row r="211" spans="1:7" x14ac:dyDescent="0.3">
      <c r="A211" s="2">
        <v>209</v>
      </c>
      <c r="F211" s="1"/>
      <c r="G211" s="1"/>
    </row>
    <row r="212" spans="1:7" x14ac:dyDescent="0.3">
      <c r="A212" s="2">
        <v>210</v>
      </c>
      <c r="F212" s="1"/>
      <c r="G212" s="1"/>
    </row>
    <row r="213" spans="1:7" x14ac:dyDescent="0.3">
      <c r="A213" s="2">
        <v>211</v>
      </c>
      <c r="F213" s="1"/>
      <c r="G213" s="1"/>
    </row>
    <row r="214" spans="1:7" x14ac:dyDescent="0.3">
      <c r="A214" s="2">
        <v>212</v>
      </c>
      <c r="F214" s="1"/>
      <c r="G214" s="1"/>
    </row>
    <row r="215" spans="1:7" x14ac:dyDescent="0.3">
      <c r="A215" s="2">
        <v>213</v>
      </c>
      <c r="F215" s="1"/>
      <c r="G215" s="1"/>
    </row>
    <row r="216" spans="1:7" x14ac:dyDescent="0.3">
      <c r="A216" s="2">
        <v>214</v>
      </c>
      <c r="F216" s="1"/>
      <c r="G216" s="1"/>
    </row>
    <row r="217" spans="1:7" x14ac:dyDescent="0.3">
      <c r="A217" s="2">
        <v>215</v>
      </c>
      <c r="F217" s="1"/>
      <c r="G217" s="1"/>
    </row>
    <row r="218" spans="1:7" x14ac:dyDescent="0.3">
      <c r="A218" s="2">
        <v>216</v>
      </c>
      <c r="F218" s="1"/>
      <c r="G218" s="1"/>
    </row>
    <row r="219" spans="1:7" x14ac:dyDescent="0.3">
      <c r="A219" s="2">
        <v>217</v>
      </c>
      <c r="F219" s="1"/>
      <c r="G219" s="1"/>
    </row>
    <row r="220" spans="1:7" x14ac:dyDescent="0.3">
      <c r="A220" s="2">
        <v>218</v>
      </c>
      <c r="F220" s="1"/>
      <c r="G220" s="1"/>
    </row>
    <row r="221" spans="1:7" x14ac:dyDescent="0.3">
      <c r="A221" s="2">
        <v>219</v>
      </c>
      <c r="F221" s="1"/>
      <c r="G221" s="1"/>
    </row>
    <row r="222" spans="1:7" x14ac:dyDescent="0.3">
      <c r="A222" s="2">
        <v>220</v>
      </c>
      <c r="F222" s="1"/>
      <c r="G222" s="1"/>
    </row>
    <row r="223" spans="1:7" x14ac:dyDescent="0.3">
      <c r="A223" s="2">
        <v>221</v>
      </c>
      <c r="F223" s="1"/>
      <c r="G223" s="1"/>
    </row>
    <row r="224" spans="1:7" x14ac:dyDescent="0.3">
      <c r="A224" s="2">
        <v>222</v>
      </c>
      <c r="F224" s="1"/>
      <c r="G224" s="1"/>
    </row>
    <row r="225" spans="1:7" x14ac:dyDescent="0.3">
      <c r="A225" s="2">
        <v>223</v>
      </c>
      <c r="F225" s="1"/>
      <c r="G225" s="1"/>
    </row>
    <row r="226" spans="1:7" x14ac:dyDescent="0.3">
      <c r="A226" s="2">
        <v>224</v>
      </c>
      <c r="F226" s="1"/>
      <c r="G226" s="1"/>
    </row>
    <row r="227" spans="1:7" x14ac:dyDescent="0.3">
      <c r="A227" s="2">
        <v>225</v>
      </c>
      <c r="F227" s="1"/>
      <c r="G227" s="1"/>
    </row>
    <row r="228" spans="1:7" x14ac:dyDescent="0.3">
      <c r="A228" s="2">
        <v>226</v>
      </c>
      <c r="F228" s="1"/>
      <c r="G228" s="1"/>
    </row>
    <row r="229" spans="1:7" x14ac:dyDescent="0.3">
      <c r="A229" s="2">
        <v>227</v>
      </c>
      <c r="F229" s="1"/>
      <c r="G229" s="1"/>
    </row>
    <row r="230" spans="1:7" x14ac:dyDescent="0.3">
      <c r="A230" s="2">
        <v>228</v>
      </c>
      <c r="F230" s="1"/>
      <c r="G230" s="1"/>
    </row>
    <row r="231" spans="1:7" x14ac:dyDescent="0.3">
      <c r="A231" s="2">
        <v>229</v>
      </c>
      <c r="F231" s="1"/>
      <c r="G231" s="1"/>
    </row>
    <row r="232" spans="1:7" x14ac:dyDescent="0.3">
      <c r="A232" s="2">
        <v>230</v>
      </c>
      <c r="F232" s="1"/>
      <c r="G232" s="1"/>
    </row>
    <row r="233" spans="1:7" x14ac:dyDescent="0.3">
      <c r="A233" s="2">
        <v>231</v>
      </c>
      <c r="F233" s="1"/>
      <c r="G233" s="1"/>
    </row>
    <row r="234" spans="1:7" x14ac:dyDescent="0.3">
      <c r="A234" s="2">
        <v>232</v>
      </c>
      <c r="F234" s="1"/>
      <c r="G234" s="1"/>
    </row>
    <row r="235" spans="1:7" x14ac:dyDescent="0.3">
      <c r="A235" s="2">
        <v>233</v>
      </c>
      <c r="F235" s="1"/>
      <c r="G235" s="1"/>
    </row>
    <row r="236" spans="1:7" x14ac:dyDescent="0.3">
      <c r="A236" s="2">
        <v>234</v>
      </c>
      <c r="F236" s="1"/>
      <c r="G236" s="1"/>
    </row>
    <row r="237" spans="1:7" x14ac:dyDescent="0.3">
      <c r="A237" s="2">
        <v>235</v>
      </c>
      <c r="F237" s="1"/>
      <c r="G237" s="1"/>
    </row>
    <row r="238" spans="1:7" x14ac:dyDescent="0.3">
      <c r="A238" s="2">
        <v>236</v>
      </c>
      <c r="F238" s="1"/>
      <c r="G238" s="1"/>
    </row>
    <row r="239" spans="1:7" x14ac:dyDescent="0.3">
      <c r="A239" s="2">
        <v>237</v>
      </c>
      <c r="F239" s="1"/>
      <c r="G239" s="1"/>
    </row>
    <row r="240" spans="1:7" x14ac:dyDescent="0.3">
      <c r="A240" s="2">
        <v>238</v>
      </c>
      <c r="F240" s="1"/>
      <c r="G240" s="1"/>
    </row>
    <row r="241" spans="1:7" x14ac:dyDescent="0.3">
      <c r="A241" s="2">
        <v>239</v>
      </c>
      <c r="F241" s="1"/>
      <c r="G241" s="1"/>
    </row>
    <row r="242" spans="1:7" x14ac:dyDescent="0.3">
      <c r="A242" s="2">
        <v>240</v>
      </c>
      <c r="F242" s="1"/>
      <c r="G242" s="1"/>
    </row>
    <row r="243" spans="1:7" x14ac:dyDescent="0.3">
      <c r="A243" s="2">
        <v>241</v>
      </c>
      <c r="F243" s="1"/>
      <c r="G243" s="1"/>
    </row>
    <row r="244" spans="1:7" x14ac:dyDescent="0.3">
      <c r="A244" s="2">
        <v>242</v>
      </c>
      <c r="F244" s="1"/>
      <c r="G244" s="1"/>
    </row>
    <row r="245" spans="1:7" x14ac:dyDescent="0.3">
      <c r="A245" s="2">
        <v>243</v>
      </c>
      <c r="F245" s="1"/>
      <c r="G245" s="1"/>
    </row>
    <row r="246" spans="1:7" x14ac:dyDescent="0.3">
      <c r="A246" s="2">
        <v>244</v>
      </c>
      <c r="F246" s="1"/>
      <c r="G246" s="1"/>
    </row>
    <row r="247" spans="1:7" x14ac:dyDescent="0.3">
      <c r="A247" s="2">
        <v>245</v>
      </c>
      <c r="F247" s="1"/>
      <c r="G247" s="1"/>
    </row>
    <row r="248" spans="1:7" x14ac:dyDescent="0.3">
      <c r="A248" s="2">
        <v>246</v>
      </c>
      <c r="F248" s="1"/>
      <c r="G248" s="1"/>
    </row>
    <row r="249" spans="1:7" x14ac:dyDescent="0.3">
      <c r="A249" s="2">
        <v>247</v>
      </c>
      <c r="F249" s="1"/>
      <c r="G249" s="1"/>
    </row>
    <row r="250" spans="1:7" x14ac:dyDescent="0.3">
      <c r="A250" s="2">
        <v>248</v>
      </c>
      <c r="F250" s="1"/>
      <c r="G250" s="1"/>
    </row>
    <row r="251" spans="1:7" x14ac:dyDescent="0.3">
      <c r="A251" s="2">
        <v>249</v>
      </c>
      <c r="F251" s="1"/>
      <c r="G251" s="1"/>
    </row>
    <row r="252" spans="1:7" x14ac:dyDescent="0.3">
      <c r="A252" s="2">
        <v>250</v>
      </c>
      <c r="F252" s="1"/>
      <c r="G252" s="1"/>
    </row>
    <row r="253" spans="1:7" x14ac:dyDescent="0.3">
      <c r="A253" s="2">
        <v>251</v>
      </c>
      <c r="F253" s="1"/>
      <c r="G253" s="1"/>
    </row>
    <row r="254" spans="1:7" x14ac:dyDescent="0.3">
      <c r="A254" s="2">
        <v>252</v>
      </c>
      <c r="F254" s="1"/>
      <c r="G254" s="1"/>
    </row>
    <row r="255" spans="1:7" x14ac:dyDescent="0.3">
      <c r="A255" s="2">
        <v>253</v>
      </c>
      <c r="F255" s="1"/>
      <c r="G255" s="1"/>
    </row>
    <row r="256" spans="1:7" x14ac:dyDescent="0.3">
      <c r="A256" s="2">
        <v>254</v>
      </c>
      <c r="F256" s="1"/>
      <c r="G256" s="1"/>
    </row>
    <row r="257" spans="1:7" x14ac:dyDescent="0.3">
      <c r="A257" s="2">
        <v>255</v>
      </c>
      <c r="F257" s="1"/>
      <c r="G257" s="1"/>
    </row>
    <row r="258" spans="1:7" x14ac:dyDescent="0.3">
      <c r="A258" s="2">
        <v>256</v>
      </c>
      <c r="F258" s="1"/>
      <c r="G258" s="1"/>
    </row>
    <row r="259" spans="1:7" x14ac:dyDescent="0.3">
      <c r="A259" s="2">
        <v>257</v>
      </c>
      <c r="F259" s="1"/>
      <c r="G259" s="1"/>
    </row>
    <row r="260" spans="1:7" x14ac:dyDescent="0.3">
      <c r="A260" s="2">
        <v>258</v>
      </c>
      <c r="F260" s="1"/>
      <c r="G260" s="1"/>
    </row>
    <row r="261" spans="1:7" x14ac:dyDescent="0.3">
      <c r="A261" s="2">
        <v>259</v>
      </c>
      <c r="F261" s="1"/>
      <c r="G261" s="1"/>
    </row>
    <row r="262" spans="1:7" x14ac:dyDescent="0.3">
      <c r="A262" s="2">
        <v>260</v>
      </c>
      <c r="F262" s="1"/>
      <c r="G262" s="1"/>
    </row>
    <row r="263" spans="1:7" x14ac:dyDescent="0.3">
      <c r="A263" s="2">
        <v>261</v>
      </c>
      <c r="F263" s="1"/>
      <c r="G263" s="1"/>
    </row>
    <row r="264" spans="1:7" x14ac:dyDescent="0.3">
      <c r="A264" s="2">
        <v>262</v>
      </c>
      <c r="F264" s="1"/>
      <c r="G264" s="1"/>
    </row>
    <row r="265" spans="1:7" x14ac:dyDescent="0.3">
      <c r="A265" s="2">
        <v>263</v>
      </c>
      <c r="F265" s="1"/>
      <c r="G265" s="1"/>
    </row>
    <row r="266" spans="1:7" x14ac:dyDescent="0.3">
      <c r="A266" s="2">
        <v>264</v>
      </c>
      <c r="F266" s="1"/>
      <c r="G266" s="1"/>
    </row>
    <row r="267" spans="1:7" x14ac:dyDescent="0.3">
      <c r="A267" s="2">
        <v>265</v>
      </c>
      <c r="F267" s="1"/>
      <c r="G267" s="1"/>
    </row>
    <row r="268" spans="1:7" x14ac:dyDescent="0.3">
      <c r="A268" s="2">
        <v>266</v>
      </c>
      <c r="F268" s="1"/>
      <c r="G268" s="1"/>
    </row>
    <row r="269" spans="1:7" x14ac:dyDescent="0.3">
      <c r="A269" s="2">
        <v>267</v>
      </c>
      <c r="F269" s="1"/>
      <c r="G269" s="1"/>
    </row>
    <row r="270" spans="1:7" x14ac:dyDescent="0.3">
      <c r="A270" s="2">
        <v>268</v>
      </c>
      <c r="F270" s="1"/>
      <c r="G270" s="1"/>
    </row>
    <row r="271" spans="1:7" x14ac:dyDescent="0.3">
      <c r="A271" s="2">
        <v>269</v>
      </c>
      <c r="F271" s="1"/>
      <c r="G271" s="1"/>
    </row>
    <row r="272" spans="1:7" x14ac:dyDescent="0.3">
      <c r="A272" s="2">
        <v>270</v>
      </c>
      <c r="F272" s="1"/>
      <c r="G272" s="1"/>
    </row>
    <row r="273" spans="1:7" x14ac:dyDescent="0.3">
      <c r="A273" s="2">
        <v>271</v>
      </c>
      <c r="F273" s="1"/>
      <c r="G273" s="1"/>
    </row>
    <row r="274" spans="1:7" x14ac:dyDescent="0.3">
      <c r="A274" s="2">
        <v>272</v>
      </c>
      <c r="F274" s="1"/>
      <c r="G274" s="1"/>
    </row>
    <row r="275" spans="1:7" x14ac:dyDescent="0.3">
      <c r="A275" s="2">
        <v>273</v>
      </c>
      <c r="F275" s="1"/>
      <c r="G275" s="1"/>
    </row>
    <row r="276" spans="1:7" x14ac:dyDescent="0.3">
      <c r="A276" s="2">
        <v>274</v>
      </c>
      <c r="F276" s="1"/>
      <c r="G276" s="1"/>
    </row>
    <row r="277" spans="1:7" x14ac:dyDescent="0.3">
      <c r="A277" s="2">
        <v>275</v>
      </c>
      <c r="F277" s="1"/>
      <c r="G277" s="1"/>
    </row>
    <row r="278" spans="1:7" x14ac:dyDescent="0.3">
      <c r="A278" s="2">
        <v>276</v>
      </c>
      <c r="F278" s="1"/>
      <c r="G278" s="1"/>
    </row>
    <row r="279" spans="1:7" x14ac:dyDescent="0.3">
      <c r="A279" s="2">
        <v>277</v>
      </c>
      <c r="F279" s="1"/>
      <c r="G279" s="1"/>
    </row>
    <row r="280" spans="1:7" x14ac:dyDescent="0.3">
      <c r="A280" s="2">
        <v>278</v>
      </c>
      <c r="F280" s="1"/>
      <c r="G280" s="1"/>
    </row>
    <row r="281" spans="1:7" x14ac:dyDescent="0.3">
      <c r="A281" s="2">
        <v>279</v>
      </c>
      <c r="F281" s="1"/>
      <c r="G281" s="1"/>
    </row>
    <row r="282" spans="1:7" x14ac:dyDescent="0.3">
      <c r="A282" s="2">
        <v>280</v>
      </c>
      <c r="F282" s="1"/>
      <c r="G282" s="1"/>
    </row>
    <row r="283" spans="1:7" x14ac:dyDescent="0.3">
      <c r="A283" s="2">
        <v>281</v>
      </c>
      <c r="F283" s="1"/>
      <c r="G283" s="1"/>
    </row>
    <row r="284" spans="1:7" x14ac:dyDescent="0.3">
      <c r="A284" s="2">
        <v>282</v>
      </c>
      <c r="F284" s="1"/>
      <c r="G284" s="1"/>
    </row>
    <row r="285" spans="1:7" x14ac:dyDescent="0.3">
      <c r="A285" s="2">
        <v>283</v>
      </c>
      <c r="F285" s="1"/>
      <c r="G285" s="1"/>
    </row>
    <row r="286" spans="1:7" x14ac:dyDescent="0.3">
      <c r="A286" s="2">
        <v>284</v>
      </c>
      <c r="F286" s="1"/>
      <c r="G286" s="1"/>
    </row>
    <row r="287" spans="1:7" x14ac:dyDescent="0.3">
      <c r="A287" s="2">
        <v>285</v>
      </c>
      <c r="F287" s="1"/>
      <c r="G287" s="1"/>
    </row>
    <row r="288" spans="1:7" x14ac:dyDescent="0.3">
      <c r="A288" s="2">
        <v>286</v>
      </c>
      <c r="F288" s="1"/>
      <c r="G288" s="1"/>
    </row>
    <row r="289" spans="1:7" x14ac:dyDescent="0.3">
      <c r="A289" s="2">
        <v>287</v>
      </c>
      <c r="F289" s="1"/>
      <c r="G289" s="1"/>
    </row>
    <row r="290" spans="1:7" x14ac:dyDescent="0.3">
      <c r="A290" s="2">
        <v>288</v>
      </c>
      <c r="F290" s="1"/>
      <c r="G290" s="1"/>
    </row>
    <row r="291" spans="1:7" x14ac:dyDescent="0.3">
      <c r="A291" s="2">
        <v>289</v>
      </c>
      <c r="F291" s="1"/>
      <c r="G291" s="1"/>
    </row>
    <row r="292" spans="1:7" x14ac:dyDescent="0.3">
      <c r="A292" s="2">
        <v>290</v>
      </c>
      <c r="F292" s="1"/>
      <c r="G292" s="1"/>
    </row>
    <row r="293" spans="1:7" x14ac:dyDescent="0.3">
      <c r="A293" s="2">
        <v>291</v>
      </c>
      <c r="F293" s="1"/>
      <c r="G293" s="1"/>
    </row>
    <row r="294" spans="1:7" x14ac:dyDescent="0.3">
      <c r="A294" s="2">
        <v>292</v>
      </c>
      <c r="F294" s="1"/>
      <c r="G294" s="1"/>
    </row>
    <row r="295" spans="1:7" x14ac:dyDescent="0.3">
      <c r="A295" s="2">
        <v>293</v>
      </c>
      <c r="F295" s="1"/>
      <c r="G295" s="1"/>
    </row>
    <row r="296" spans="1:7" x14ac:dyDescent="0.3">
      <c r="A296" s="2">
        <v>294</v>
      </c>
      <c r="F296" s="1"/>
      <c r="G296" s="1"/>
    </row>
    <row r="297" spans="1:7" x14ac:dyDescent="0.3">
      <c r="A297" s="2">
        <v>295</v>
      </c>
      <c r="F297" s="1"/>
      <c r="G297" s="1"/>
    </row>
    <row r="298" spans="1:7" x14ac:dyDescent="0.3">
      <c r="A298" s="2">
        <v>296</v>
      </c>
      <c r="F298" s="1"/>
      <c r="G298" s="1"/>
    </row>
    <row r="299" spans="1:7" x14ac:dyDescent="0.3">
      <c r="A299" s="2">
        <v>297</v>
      </c>
      <c r="F299" s="1"/>
      <c r="G299" s="1"/>
    </row>
    <row r="300" spans="1:7" x14ac:dyDescent="0.3">
      <c r="A300" s="2">
        <v>298</v>
      </c>
      <c r="F300" s="1"/>
      <c r="G300" s="1"/>
    </row>
    <row r="301" spans="1:7" x14ac:dyDescent="0.3">
      <c r="A301" s="2">
        <v>299</v>
      </c>
      <c r="F301" s="1"/>
      <c r="G301" s="1"/>
    </row>
    <row r="302" spans="1:7" x14ac:dyDescent="0.3">
      <c r="A302" s="2">
        <v>300</v>
      </c>
      <c r="F302" s="1"/>
      <c r="G302" s="1"/>
    </row>
    <row r="303" spans="1:7" x14ac:dyDescent="0.3">
      <c r="A303" s="2">
        <v>301</v>
      </c>
      <c r="F303" s="1"/>
      <c r="G303" s="1"/>
    </row>
    <row r="304" spans="1:7" x14ac:dyDescent="0.3">
      <c r="A304" s="2">
        <v>302</v>
      </c>
      <c r="F304" s="1"/>
      <c r="G304" s="1"/>
    </row>
    <row r="305" spans="1:7" x14ac:dyDescent="0.3">
      <c r="A305" s="2">
        <v>303</v>
      </c>
      <c r="F305" s="1"/>
      <c r="G305" s="1"/>
    </row>
    <row r="306" spans="1:7" x14ac:dyDescent="0.3">
      <c r="A306" s="2">
        <v>304</v>
      </c>
      <c r="F306" s="1"/>
      <c r="G306" s="1"/>
    </row>
    <row r="307" spans="1:7" x14ac:dyDescent="0.3">
      <c r="A307" s="2">
        <v>305</v>
      </c>
      <c r="F307" s="1"/>
      <c r="G307" s="1"/>
    </row>
    <row r="308" spans="1:7" x14ac:dyDescent="0.3">
      <c r="A308" s="2">
        <v>306</v>
      </c>
      <c r="F308" s="1"/>
      <c r="G308" s="1"/>
    </row>
    <row r="309" spans="1:7" x14ac:dyDescent="0.3">
      <c r="A309" s="2">
        <v>307</v>
      </c>
      <c r="F309" s="1"/>
      <c r="G309" s="1"/>
    </row>
    <row r="310" spans="1:7" x14ac:dyDescent="0.3">
      <c r="A310" s="2">
        <v>308</v>
      </c>
      <c r="F310" s="1"/>
      <c r="G310" s="1"/>
    </row>
    <row r="311" spans="1:7" x14ac:dyDescent="0.3">
      <c r="A311" s="2">
        <v>309</v>
      </c>
      <c r="F311" s="1"/>
      <c r="G311" s="1"/>
    </row>
    <row r="312" spans="1:7" x14ac:dyDescent="0.3">
      <c r="A312" s="2">
        <v>310</v>
      </c>
      <c r="F312" s="1"/>
      <c r="G312" s="1"/>
    </row>
    <row r="313" spans="1:7" x14ac:dyDescent="0.3">
      <c r="A313" s="2">
        <v>311</v>
      </c>
      <c r="F313" s="1"/>
      <c r="G313" s="1"/>
    </row>
    <row r="314" spans="1:7" x14ac:dyDescent="0.3">
      <c r="A314" s="2">
        <v>312</v>
      </c>
      <c r="F314" s="1"/>
      <c r="G314" s="1"/>
    </row>
    <row r="315" spans="1:7" x14ac:dyDescent="0.3">
      <c r="A315" s="2">
        <v>313</v>
      </c>
      <c r="F315" s="1"/>
      <c r="G315" s="1"/>
    </row>
    <row r="316" spans="1:7" x14ac:dyDescent="0.3">
      <c r="A316" s="2">
        <v>314</v>
      </c>
      <c r="F316" s="1"/>
      <c r="G316" s="1"/>
    </row>
    <row r="317" spans="1:7" x14ac:dyDescent="0.3">
      <c r="A317" s="2">
        <v>315</v>
      </c>
      <c r="F317" s="1"/>
      <c r="G317" s="1"/>
    </row>
    <row r="318" spans="1:7" x14ac:dyDescent="0.3">
      <c r="A318" s="2">
        <v>316</v>
      </c>
      <c r="F318" s="1"/>
      <c r="G318" s="1"/>
    </row>
    <row r="319" spans="1:7" x14ac:dyDescent="0.3">
      <c r="A319" s="2">
        <v>317</v>
      </c>
      <c r="F319" s="1"/>
      <c r="G319" s="1"/>
    </row>
    <row r="320" spans="1:7" x14ac:dyDescent="0.3">
      <c r="A320" s="2">
        <v>318</v>
      </c>
      <c r="F320" s="1"/>
      <c r="G320" s="1"/>
    </row>
    <row r="321" spans="1:7" x14ac:dyDescent="0.3">
      <c r="A321" s="2">
        <v>319</v>
      </c>
      <c r="F321" s="1"/>
      <c r="G321" s="1"/>
    </row>
    <row r="322" spans="1:7" x14ac:dyDescent="0.3">
      <c r="A322" s="2">
        <v>320</v>
      </c>
      <c r="F322" s="1"/>
      <c r="G322" s="1"/>
    </row>
    <row r="323" spans="1:7" x14ac:dyDescent="0.3">
      <c r="A323" s="2">
        <v>321</v>
      </c>
      <c r="F323" s="1"/>
      <c r="G323" s="1"/>
    </row>
    <row r="324" spans="1:7" x14ac:dyDescent="0.3">
      <c r="A324" s="2">
        <v>322</v>
      </c>
      <c r="F324" s="1"/>
      <c r="G324" s="1"/>
    </row>
    <row r="325" spans="1:7" x14ac:dyDescent="0.3">
      <c r="A325" s="2">
        <v>323</v>
      </c>
      <c r="F325" s="1"/>
      <c r="G325" s="1"/>
    </row>
    <row r="326" spans="1:7" x14ac:dyDescent="0.3">
      <c r="A326" s="2">
        <v>324</v>
      </c>
      <c r="F326" s="1"/>
      <c r="G326" s="1"/>
    </row>
    <row r="327" spans="1:7" x14ac:dyDescent="0.3">
      <c r="A327" s="2">
        <v>325</v>
      </c>
      <c r="F327" s="1"/>
      <c r="G327" s="1"/>
    </row>
    <row r="328" spans="1:7" x14ac:dyDescent="0.3">
      <c r="A328" s="2">
        <v>326</v>
      </c>
      <c r="F328" s="1"/>
      <c r="G328" s="1"/>
    </row>
    <row r="329" spans="1:7" x14ac:dyDescent="0.3">
      <c r="A329" s="2">
        <v>327</v>
      </c>
      <c r="F329" s="1"/>
      <c r="G329" s="1"/>
    </row>
    <row r="330" spans="1:7" x14ac:dyDescent="0.3">
      <c r="A330" s="2">
        <v>328</v>
      </c>
      <c r="F330" s="1"/>
      <c r="G330" s="1"/>
    </row>
    <row r="331" spans="1:7" x14ac:dyDescent="0.3">
      <c r="A331" s="2">
        <v>329</v>
      </c>
      <c r="F331" s="1"/>
      <c r="G331" s="1"/>
    </row>
    <row r="332" spans="1:7" x14ac:dyDescent="0.3">
      <c r="A332" s="2">
        <v>330</v>
      </c>
      <c r="F332" s="1"/>
      <c r="G332" s="1"/>
    </row>
    <row r="333" spans="1:7" x14ac:dyDescent="0.3">
      <c r="A333" s="2">
        <v>331</v>
      </c>
      <c r="F333" s="1"/>
      <c r="G333" s="1"/>
    </row>
    <row r="334" spans="1:7" x14ac:dyDescent="0.3">
      <c r="A334" s="2">
        <v>332</v>
      </c>
      <c r="F334" s="1"/>
      <c r="G334" s="1"/>
    </row>
    <row r="335" spans="1:7" x14ac:dyDescent="0.3">
      <c r="A335" s="2">
        <v>333</v>
      </c>
      <c r="F335" s="1"/>
      <c r="G335" s="1"/>
    </row>
    <row r="336" spans="1:7" x14ac:dyDescent="0.3">
      <c r="A336" s="2">
        <v>334</v>
      </c>
      <c r="F336" s="1"/>
      <c r="G336" s="1"/>
    </row>
    <row r="337" spans="1:7" x14ac:dyDescent="0.3">
      <c r="A337" s="2">
        <v>335</v>
      </c>
      <c r="F337" s="1"/>
      <c r="G337" s="1"/>
    </row>
    <row r="338" spans="1:7" x14ac:dyDescent="0.3">
      <c r="A338" s="2">
        <v>336</v>
      </c>
      <c r="F338" s="1"/>
      <c r="G338" s="1"/>
    </row>
    <row r="339" spans="1:7" x14ac:dyDescent="0.3">
      <c r="A339" s="2">
        <v>337</v>
      </c>
      <c r="F339" s="1"/>
      <c r="G339" s="1"/>
    </row>
    <row r="340" spans="1:7" x14ac:dyDescent="0.3">
      <c r="A340" s="2">
        <v>338</v>
      </c>
      <c r="F340" s="1"/>
      <c r="G340" s="1"/>
    </row>
    <row r="341" spans="1:7" x14ac:dyDescent="0.3">
      <c r="A341" s="2">
        <v>339</v>
      </c>
      <c r="F341" s="1"/>
      <c r="G341" s="1"/>
    </row>
    <row r="342" spans="1:7" x14ac:dyDescent="0.3">
      <c r="A342" s="2">
        <v>340</v>
      </c>
      <c r="F342" s="1"/>
      <c r="G342" s="1"/>
    </row>
    <row r="343" spans="1:7" x14ac:dyDescent="0.3">
      <c r="A343" s="2">
        <v>341</v>
      </c>
      <c r="F343" s="1"/>
      <c r="G343" s="1"/>
    </row>
    <row r="344" spans="1:7" x14ac:dyDescent="0.3">
      <c r="A344" s="2">
        <v>342</v>
      </c>
      <c r="F344" s="1"/>
      <c r="G344" s="1"/>
    </row>
    <row r="345" spans="1:7" x14ac:dyDescent="0.3">
      <c r="A345" s="2">
        <v>343</v>
      </c>
      <c r="F345" s="1"/>
      <c r="G345" s="1"/>
    </row>
    <row r="346" spans="1:7" x14ac:dyDescent="0.3">
      <c r="A346" s="2">
        <v>344</v>
      </c>
      <c r="F346" s="1"/>
      <c r="G346" s="1"/>
    </row>
    <row r="347" spans="1:7" x14ac:dyDescent="0.3">
      <c r="A347" s="2">
        <v>345</v>
      </c>
      <c r="F347" s="1"/>
      <c r="G347" s="1"/>
    </row>
    <row r="348" spans="1:7" x14ac:dyDescent="0.3">
      <c r="A348" s="2">
        <v>346</v>
      </c>
      <c r="F348" s="1"/>
      <c r="G348" s="1"/>
    </row>
    <row r="349" spans="1:7" x14ac:dyDescent="0.3">
      <c r="A349" s="2">
        <v>347</v>
      </c>
      <c r="F349" s="1"/>
      <c r="G349" s="1"/>
    </row>
    <row r="350" spans="1:7" x14ac:dyDescent="0.3">
      <c r="A350" s="2">
        <v>348</v>
      </c>
      <c r="F350" s="1"/>
      <c r="G350" s="1"/>
    </row>
    <row r="351" spans="1:7" x14ac:dyDescent="0.3">
      <c r="A351" s="2">
        <v>349</v>
      </c>
      <c r="F351" s="1"/>
      <c r="G351" s="1"/>
    </row>
    <row r="352" spans="1:7" x14ac:dyDescent="0.3">
      <c r="A352" s="2">
        <v>350</v>
      </c>
      <c r="F352" s="1"/>
      <c r="G352" s="1"/>
    </row>
    <row r="353" spans="1:7" x14ac:dyDescent="0.3">
      <c r="A353" s="2">
        <v>351</v>
      </c>
      <c r="F353" s="1"/>
      <c r="G353" s="1"/>
    </row>
    <row r="354" spans="1:7" x14ac:dyDescent="0.3">
      <c r="A354" s="2">
        <v>352</v>
      </c>
      <c r="F354" s="1"/>
      <c r="G354" s="1"/>
    </row>
    <row r="355" spans="1:7" x14ac:dyDescent="0.3">
      <c r="A355" s="2">
        <v>353</v>
      </c>
      <c r="F355" s="1"/>
      <c r="G355" s="1"/>
    </row>
    <row r="356" spans="1:7" x14ac:dyDescent="0.3">
      <c r="A356" s="2">
        <v>354</v>
      </c>
      <c r="F356" s="1"/>
      <c r="G356" s="1"/>
    </row>
    <row r="357" spans="1:7" x14ac:dyDescent="0.3">
      <c r="A357" s="2">
        <v>355</v>
      </c>
      <c r="F357" s="1"/>
      <c r="G357" s="1"/>
    </row>
    <row r="358" spans="1:7" x14ac:dyDescent="0.3">
      <c r="A358" s="2">
        <v>356</v>
      </c>
      <c r="F358" s="1"/>
      <c r="G358" s="1"/>
    </row>
    <row r="359" spans="1:7" x14ac:dyDescent="0.3">
      <c r="A359" s="2">
        <v>357</v>
      </c>
      <c r="F359" s="1"/>
      <c r="G359" s="1"/>
    </row>
    <row r="360" spans="1:7" x14ac:dyDescent="0.3">
      <c r="A360" s="2">
        <v>358</v>
      </c>
      <c r="F360" s="1"/>
      <c r="G360" s="1"/>
    </row>
    <row r="361" spans="1:7" x14ac:dyDescent="0.3">
      <c r="A361" s="2">
        <v>359</v>
      </c>
      <c r="F361" s="1"/>
      <c r="G361" s="1"/>
    </row>
    <row r="362" spans="1:7" x14ac:dyDescent="0.3">
      <c r="A362" s="2">
        <v>360</v>
      </c>
      <c r="F362" s="1"/>
      <c r="G362" s="1"/>
    </row>
    <row r="363" spans="1:7" x14ac:dyDescent="0.3">
      <c r="A363" s="2">
        <v>361</v>
      </c>
      <c r="F363" s="1"/>
      <c r="G363" s="1"/>
    </row>
    <row r="364" spans="1:7" x14ac:dyDescent="0.3">
      <c r="A364" s="2">
        <v>362</v>
      </c>
      <c r="F364" s="1"/>
      <c r="G364" s="1"/>
    </row>
    <row r="365" spans="1:7" x14ac:dyDescent="0.3">
      <c r="A365" s="2">
        <v>363</v>
      </c>
      <c r="F365" s="1"/>
      <c r="G365" s="1"/>
    </row>
    <row r="366" spans="1:7" x14ac:dyDescent="0.3">
      <c r="A366" s="2">
        <v>364</v>
      </c>
      <c r="F366" s="1"/>
      <c r="G366" s="1"/>
    </row>
    <row r="367" spans="1:7" x14ac:dyDescent="0.3">
      <c r="A367" s="2">
        <v>365</v>
      </c>
      <c r="F367" s="1"/>
      <c r="G367" s="1"/>
    </row>
    <row r="368" spans="1:7" x14ac:dyDescent="0.3">
      <c r="A368" s="2">
        <v>366</v>
      </c>
      <c r="F368" s="1"/>
      <c r="G368" s="1"/>
    </row>
    <row r="369" spans="1:7" x14ac:dyDescent="0.3">
      <c r="A369" s="2">
        <v>367</v>
      </c>
      <c r="F369" s="1"/>
      <c r="G369" s="1"/>
    </row>
    <row r="370" spans="1:7" x14ac:dyDescent="0.3">
      <c r="A370" s="2">
        <v>368</v>
      </c>
      <c r="F370" s="1"/>
      <c r="G370" s="1"/>
    </row>
    <row r="371" spans="1:7" x14ac:dyDescent="0.3">
      <c r="A371" s="2">
        <v>369</v>
      </c>
      <c r="F371" s="1"/>
      <c r="G371" s="1"/>
    </row>
    <row r="372" spans="1:7" x14ac:dyDescent="0.3">
      <c r="A372" s="2">
        <v>370</v>
      </c>
      <c r="F372" s="1"/>
      <c r="G372" s="1"/>
    </row>
    <row r="373" spans="1:7" x14ac:dyDescent="0.3">
      <c r="A373" s="2">
        <v>371</v>
      </c>
      <c r="F373" s="1"/>
      <c r="G373" s="1"/>
    </row>
    <row r="374" spans="1:7" x14ac:dyDescent="0.3">
      <c r="A374" s="2">
        <v>372</v>
      </c>
      <c r="F374" s="1"/>
      <c r="G374" s="1"/>
    </row>
    <row r="375" spans="1:7" x14ac:dyDescent="0.3">
      <c r="A375" s="2">
        <v>373</v>
      </c>
      <c r="F375" s="1"/>
      <c r="G375" s="1"/>
    </row>
    <row r="376" spans="1:7" x14ac:dyDescent="0.3">
      <c r="A376" s="2">
        <v>374</v>
      </c>
      <c r="F376" s="1"/>
      <c r="G376" s="1"/>
    </row>
    <row r="377" spans="1:7" x14ac:dyDescent="0.3">
      <c r="A377" s="2">
        <v>375</v>
      </c>
      <c r="F377" s="1"/>
      <c r="G377" s="1"/>
    </row>
    <row r="378" spans="1:7" x14ac:dyDescent="0.3">
      <c r="A378" s="2">
        <v>376</v>
      </c>
      <c r="F378" s="1"/>
      <c r="G378" s="1"/>
    </row>
    <row r="379" spans="1:7" x14ac:dyDescent="0.3">
      <c r="A379" s="2">
        <v>377</v>
      </c>
      <c r="F379" s="1"/>
      <c r="G379" s="1"/>
    </row>
    <row r="380" spans="1:7" x14ac:dyDescent="0.3">
      <c r="A380" s="2">
        <v>378</v>
      </c>
      <c r="F380" s="1"/>
      <c r="G380" s="1"/>
    </row>
    <row r="381" spans="1:7" x14ac:dyDescent="0.3">
      <c r="A381" s="2">
        <v>379</v>
      </c>
      <c r="F381" s="1"/>
      <c r="G381" s="1"/>
    </row>
    <row r="382" spans="1:7" x14ac:dyDescent="0.3">
      <c r="A382" s="2">
        <v>380</v>
      </c>
      <c r="F382" s="1"/>
      <c r="G382" s="1"/>
    </row>
    <row r="383" spans="1:7" x14ac:dyDescent="0.3">
      <c r="A383" s="2">
        <v>381</v>
      </c>
      <c r="F383" s="1"/>
      <c r="G383" s="1"/>
    </row>
    <row r="384" spans="1:7" x14ac:dyDescent="0.3">
      <c r="A384" s="2">
        <v>382</v>
      </c>
      <c r="F384" s="1"/>
      <c r="G384" s="1"/>
    </row>
    <row r="385" spans="1:7" x14ac:dyDescent="0.3">
      <c r="A385" s="2">
        <v>383</v>
      </c>
      <c r="F385" s="1"/>
      <c r="G385" s="1"/>
    </row>
    <row r="386" spans="1:7" x14ac:dyDescent="0.3">
      <c r="A386" s="2">
        <v>384</v>
      </c>
      <c r="F386" s="1"/>
      <c r="G386" s="1"/>
    </row>
    <row r="387" spans="1:7" x14ac:dyDescent="0.3">
      <c r="A387" s="2">
        <v>385</v>
      </c>
      <c r="F387" s="1"/>
      <c r="G387" s="1"/>
    </row>
    <row r="388" spans="1:7" x14ac:dyDescent="0.3">
      <c r="A388" s="2">
        <v>386</v>
      </c>
      <c r="F388" s="1"/>
      <c r="G388" s="1"/>
    </row>
    <row r="389" spans="1:7" x14ac:dyDescent="0.3">
      <c r="A389" s="2">
        <v>387</v>
      </c>
      <c r="F389" s="1"/>
      <c r="G389" s="1"/>
    </row>
    <row r="390" spans="1:7" x14ac:dyDescent="0.3">
      <c r="A390" s="2">
        <v>388</v>
      </c>
      <c r="F390" s="1"/>
      <c r="G390" s="1"/>
    </row>
    <row r="391" spans="1:7" x14ac:dyDescent="0.3">
      <c r="A391" s="2">
        <v>389</v>
      </c>
      <c r="F391" s="1"/>
      <c r="G391" s="1"/>
    </row>
    <row r="392" spans="1:7" x14ac:dyDescent="0.3">
      <c r="A392" s="2">
        <v>390</v>
      </c>
      <c r="F392" s="1"/>
      <c r="G392" s="1"/>
    </row>
    <row r="393" spans="1:7" x14ac:dyDescent="0.3">
      <c r="A393" s="2">
        <v>391</v>
      </c>
      <c r="F393" s="1"/>
      <c r="G393" s="1"/>
    </row>
    <row r="394" spans="1:7" x14ac:dyDescent="0.3">
      <c r="A394" s="2">
        <v>392</v>
      </c>
      <c r="F394" s="1"/>
      <c r="G394" s="1"/>
    </row>
    <row r="395" spans="1:7" x14ac:dyDescent="0.3">
      <c r="A395" s="2">
        <v>393</v>
      </c>
      <c r="F395" s="1"/>
      <c r="G395" s="1"/>
    </row>
    <row r="396" spans="1:7" x14ac:dyDescent="0.3">
      <c r="A396" s="2">
        <v>394</v>
      </c>
      <c r="F396" s="1"/>
      <c r="G396" s="1"/>
    </row>
    <row r="397" spans="1:7" x14ac:dyDescent="0.3">
      <c r="A397" s="2">
        <v>395</v>
      </c>
      <c r="F397" s="1"/>
      <c r="G397" s="1"/>
    </row>
    <row r="398" spans="1:7" x14ac:dyDescent="0.3">
      <c r="A398" s="2">
        <v>396</v>
      </c>
      <c r="F398" s="1"/>
      <c r="G398" s="1"/>
    </row>
    <row r="399" spans="1:7" x14ac:dyDescent="0.3">
      <c r="A399" s="2">
        <v>397</v>
      </c>
      <c r="F399" s="1"/>
      <c r="G399" s="1"/>
    </row>
    <row r="400" spans="1:7" x14ac:dyDescent="0.3">
      <c r="A400" s="2">
        <v>398</v>
      </c>
      <c r="F400" s="1"/>
      <c r="G400" s="1"/>
    </row>
    <row r="401" spans="1:7" x14ac:dyDescent="0.3">
      <c r="A401" s="2">
        <v>399</v>
      </c>
      <c r="F401" s="1"/>
      <c r="G401" s="1"/>
    </row>
    <row r="402" spans="1:7" x14ac:dyDescent="0.3">
      <c r="A402" s="2">
        <v>400</v>
      </c>
      <c r="F402" s="1"/>
      <c r="G402" s="1"/>
    </row>
    <row r="403" spans="1:7" x14ac:dyDescent="0.3">
      <c r="A403" s="2">
        <v>401</v>
      </c>
      <c r="F403" s="1"/>
      <c r="G403" s="1"/>
    </row>
    <row r="404" spans="1:7" x14ac:dyDescent="0.3">
      <c r="A404" s="2">
        <v>402</v>
      </c>
      <c r="F404" s="1"/>
      <c r="G404" s="1"/>
    </row>
    <row r="405" spans="1:7" x14ac:dyDescent="0.3">
      <c r="A405" s="2">
        <v>403</v>
      </c>
      <c r="F405" s="1"/>
      <c r="G405" s="1"/>
    </row>
    <row r="406" spans="1:7" x14ac:dyDescent="0.3">
      <c r="A406" s="2">
        <v>404</v>
      </c>
      <c r="F406" s="1"/>
      <c r="G406" s="1"/>
    </row>
    <row r="407" spans="1:7" x14ac:dyDescent="0.3">
      <c r="A407" s="2">
        <v>405</v>
      </c>
      <c r="F407" s="1"/>
      <c r="G407" s="1"/>
    </row>
    <row r="408" spans="1:7" x14ac:dyDescent="0.3">
      <c r="A408" s="2">
        <v>406</v>
      </c>
      <c r="F408" s="1"/>
      <c r="G408" s="1"/>
    </row>
    <row r="409" spans="1:7" x14ac:dyDescent="0.3">
      <c r="A409" s="2">
        <v>407</v>
      </c>
      <c r="F409" s="1"/>
      <c r="G409" s="1"/>
    </row>
    <row r="410" spans="1:7" x14ac:dyDescent="0.3">
      <c r="A410" s="2">
        <v>408</v>
      </c>
      <c r="F410" s="1"/>
      <c r="G410" s="1"/>
    </row>
    <row r="411" spans="1:7" x14ac:dyDescent="0.3">
      <c r="A411" s="2">
        <v>409</v>
      </c>
      <c r="F411" s="1"/>
      <c r="G411" s="1"/>
    </row>
    <row r="412" spans="1:7" x14ac:dyDescent="0.3">
      <c r="A412" s="2">
        <v>410</v>
      </c>
      <c r="F412" s="1"/>
      <c r="G412" s="1"/>
    </row>
    <row r="413" spans="1:7" x14ac:dyDescent="0.3">
      <c r="A413" s="2">
        <v>411</v>
      </c>
      <c r="F413" s="1"/>
      <c r="G413" s="1"/>
    </row>
    <row r="414" spans="1:7" x14ac:dyDescent="0.3">
      <c r="A414" s="2">
        <v>412</v>
      </c>
      <c r="F414" s="1"/>
      <c r="G414" s="1"/>
    </row>
    <row r="415" spans="1:7" x14ac:dyDescent="0.3">
      <c r="A415" s="2">
        <v>413</v>
      </c>
      <c r="F415" s="1"/>
      <c r="G415" s="1"/>
    </row>
    <row r="416" spans="1:7" x14ac:dyDescent="0.3">
      <c r="A416" s="2">
        <v>414</v>
      </c>
      <c r="F416" s="1"/>
      <c r="G416" s="1"/>
    </row>
    <row r="417" spans="1:7" x14ac:dyDescent="0.3">
      <c r="A417" s="2">
        <v>415</v>
      </c>
      <c r="F417" s="1"/>
      <c r="G417" s="1"/>
    </row>
    <row r="418" spans="1:7" x14ac:dyDescent="0.3">
      <c r="A418" s="2">
        <v>416</v>
      </c>
      <c r="F418" s="1"/>
      <c r="G418" s="1"/>
    </row>
    <row r="419" spans="1:7" x14ac:dyDescent="0.3">
      <c r="A419" s="2">
        <v>417</v>
      </c>
      <c r="F419" s="1"/>
      <c r="G419" s="1"/>
    </row>
    <row r="420" spans="1:7" x14ac:dyDescent="0.3">
      <c r="A420" s="2">
        <v>418</v>
      </c>
      <c r="F420" s="1"/>
      <c r="G420" s="1"/>
    </row>
    <row r="421" spans="1:7" x14ac:dyDescent="0.3">
      <c r="A421" s="2">
        <v>419</v>
      </c>
      <c r="F421" s="1"/>
      <c r="G421" s="1"/>
    </row>
    <row r="422" spans="1:7" x14ac:dyDescent="0.3">
      <c r="A422" s="2">
        <v>420</v>
      </c>
      <c r="F422" s="1"/>
      <c r="G422" s="1"/>
    </row>
    <row r="423" spans="1:7" x14ac:dyDescent="0.3">
      <c r="A423" s="2">
        <v>421</v>
      </c>
      <c r="F423" s="1"/>
      <c r="G423" s="1"/>
    </row>
    <row r="424" spans="1:7" x14ac:dyDescent="0.3">
      <c r="A424" s="2">
        <v>422</v>
      </c>
      <c r="F424" s="1"/>
      <c r="G424" s="1"/>
    </row>
    <row r="425" spans="1:7" x14ac:dyDescent="0.3">
      <c r="A425" s="2">
        <v>423</v>
      </c>
      <c r="F425" s="1"/>
      <c r="G425" s="1"/>
    </row>
    <row r="426" spans="1:7" x14ac:dyDescent="0.3">
      <c r="A426" s="2">
        <v>424</v>
      </c>
      <c r="F426" s="1"/>
      <c r="G426" s="1"/>
    </row>
    <row r="427" spans="1:7" x14ac:dyDescent="0.3">
      <c r="A427" s="2">
        <v>425</v>
      </c>
      <c r="F427" s="1"/>
      <c r="G427" s="1"/>
    </row>
    <row r="428" spans="1:7" x14ac:dyDescent="0.3">
      <c r="A428" s="2">
        <v>426</v>
      </c>
      <c r="F428" s="1"/>
      <c r="G428" s="1"/>
    </row>
    <row r="429" spans="1:7" x14ac:dyDescent="0.3">
      <c r="A429" s="2">
        <v>427</v>
      </c>
      <c r="F429" s="1"/>
      <c r="G429" s="1"/>
    </row>
    <row r="430" spans="1:7" x14ac:dyDescent="0.3">
      <c r="A430" s="2">
        <v>428</v>
      </c>
      <c r="F430" s="1"/>
      <c r="G430" s="1"/>
    </row>
    <row r="431" spans="1:7" x14ac:dyDescent="0.3">
      <c r="A431" s="2">
        <v>429</v>
      </c>
      <c r="F431" s="1"/>
      <c r="G431" s="1"/>
    </row>
    <row r="432" spans="1:7" x14ac:dyDescent="0.3">
      <c r="A432" s="2">
        <v>430</v>
      </c>
      <c r="F432" s="1"/>
      <c r="G432" s="1"/>
    </row>
    <row r="433" spans="1:7" x14ac:dyDescent="0.3">
      <c r="A433" s="2">
        <v>431</v>
      </c>
      <c r="F433" s="1"/>
      <c r="G433" s="1"/>
    </row>
    <row r="434" spans="1:7" x14ac:dyDescent="0.3">
      <c r="A434" s="162"/>
      <c r="B434" s="1"/>
      <c r="C434" s="1"/>
      <c r="D434" s="1"/>
      <c r="E434" s="1"/>
      <c r="F434" s="1"/>
      <c r="G434" s="1"/>
    </row>
    <row r="435" spans="1:7" x14ac:dyDescent="0.3">
      <c r="A435" s="162"/>
      <c r="B435" s="1"/>
      <c r="C435" s="1"/>
      <c r="D435" s="1"/>
      <c r="E435" s="1"/>
      <c r="F435" s="1"/>
      <c r="G435" s="1"/>
    </row>
    <row r="436" spans="1:7" x14ac:dyDescent="0.3">
      <c r="A436" s="162"/>
      <c r="B436" s="1"/>
      <c r="C436" s="1"/>
      <c r="D436" s="1"/>
      <c r="E436" s="1"/>
      <c r="F436" s="1"/>
      <c r="G436" s="1"/>
    </row>
    <row r="437" spans="1:7" x14ac:dyDescent="0.3">
      <c r="A437" s="162"/>
      <c r="B437" s="1"/>
      <c r="C437" s="1"/>
      <c r="D437" s="1"/>
      <c r="E437" s="1"/>
      <c r="F437" s="1"/>
      <c r="G437" s="1"/>
    </row>
    <row r="438" spans="1:7" x14ac:dyDescent="0.3">
      <c r="A438" s="162"/>
      <c r="B438" s="1"/>
      <c r="C438" s="1"/>
      <c r="D438" s="1"/>
      <c r="E438" s="1"/>
      <c r="F438" s="1"/>
      <c r="G438" s="1"/>
    </row>
    <row r="439" spans="1:7" x14ac:dyDescent="0.3">
      <c r="A439" s="162"/>
      <c r="B439" s="1"/>
      <c r="C439" s="1"/>
      <c r="D439" s="1"/>
      <c r="E439" s="1"/>
      <c r="F439" s="1"/>
      <c r="G439" s="1"/>
    </row>
  </sheetData>
  <mergeCells count="1">
    <mergeCell ref="A1:E1"/>
  </mergeCells>
  <pageMargins left="0.7" right="0.7" top="0.75" bottom="0.75" header="0.3" footer="0.3"/>
  <headerFooter>
    <oddHeader>&amp;C&amp;"Aptos"&amp;10&amp;K008000 Confidential GREEN&amp;1#_x000D_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533D-0B8E-474D-A032-D109238F601D}">
  <sheetPr>
    <tabColor rgb="FF00B050"/>
  </sheetPr>
  <dimension ref="A1:AL515"/>
  <sheetViews>
    <sheetView tabSelected="1" zoomScale="85" zoomScaleNormal="85" workbookViewId="0">
      <selection activeCell="G22" sqref="G22"/>
    </sheetView>
  </sheetViews>
  <sheetFormatPr defaultColWidth="0" defaultRowHeight="14.4" zeroHeight="1" outlineLevelRow="1" x14ac:dyDescent="0.3"/>
  <cols>
    <col min="1" max="1" width="11.5546875" bestFit="1" customWidth="1"/>
    <col min="2" max="2" width="10.33203125" bestFit="1" customWidth="1"/>
    <col min="3" max="3" width="19.21875" customWidth="1"/>
    <col min="4" max="4" width="22.6640625" customWidth="1"/>
    <col min="5" max="5" width="18.77734375" customWidth="1"/>
    <col min="6" max="6" width="45.6640625" customWidth="1"/>
    <col min="7" max="7" width="15.33203125" bestFit="1" customWidth="1"/>
    <col min="8" max="8" width="18.109375" customWidth="1"/>
    <col min="9" max="9" width="15.33203125" bestFit="1" customWidth="1"/>
    <col min="10" max="10" width="16.109375" bestFit="1" customWidth="1"/>
    <col min="11" max="11" width="14.6640625" bestFit="1" customWidth="1"/>
    <col min="12" max="12" width="10.33203125" customWidth="1"/>
    <col min="13" max="13" width="18.21875" customWidth="1"/>
    <col min="14" max="14" width="15.109375" hidden="1" customWidth="1"/>
    <col min="15" max="15" width="20.44140625" hidden="1" customWidth="1"/>
    <col min="16" max="16" width="17.33203125" hidden="1" customWidth="1"/>
    <col min="17" max="23" width="18.6640625" hidden="1" customWidth="1"/>
    <col min="24" max="38" width="0" hidden="1" customWidth="1"/>
    <col min="39" max="16384" width="9.109375" hidden="1"/>
  </cols>
  <sheetData>
    <row r="1" spans="1:13" ht="15" thickBot="1" x14ac:dyDescent="0.35">
      <c r="A1" s="100" t="s">
        <v>222</v>
      </c>
      <c r="B1" s="100"/>
      <c r="C1" s="100"/>
      <c r="D1" s="100"/>
      <c r="E1" s="100"/>
      <c r="F1" s="100"/>
      <c r="G1" s="100"/>
      <c r="H1" s="100"/>
      <c r="I1" s="100"/>
      <c r="J1" s="100"/>
      <c r="K1" s="100"/>
      <c r="L1" s="100"/>
      <c r="M1" s="100"/>
    </row>
    <row r="2" spans="1:13" ht="15" thickBot="1" x14ac:dyDescent="0.35">
      <c r="A2" s="396" t="s">
        <v>67</v>
      </c>
      <c r="B2" s="397"/>
      <c r="C2" s="397"/>
      <c r="D2" s="397"/>
      <c r="E2" s="397"/>
      <c r="F2" s="397"/>
      <c r="G2" s="88"/>
      <c r="H2" s="398" t="s">
        <v>103</v>
      </c>
      <c r="I2" s="399"/>
      <c r="J2" s="399"/>
      <c r="K2" s="400"/>
      <c r="L2" s="4"/>
      <c r="M2" s="4"/>
    </row>
    <row r="3" spans="1:13" ht="16.5" customHeight="1" outlineLevel="1" x14ac:dyDescent="0.3">
      <c r="A3" s="5" t="s">
        <v>43</v>
      </c>
      <c r="B3" s="414" t="s">
        <v>44</v>
      </c>
      <c r="C3" s="414"/>
      <c r="D3" s="414"/>
      <c r="E3" s="414"/>
      <c r="F3" s="414"/>
      <c r="G3" s="8"/>
      <c r="H3" s="89" t="s">
        <v>104</v>
      </c>
      <c r="I3" s="90">
        <f>SUMIF(B17:B513,"IT",K17:K513)+ SUMIF(B17:B513,"",K17:K513)</f>
        <v>0</v>
      </c>
      <c r="J3" s="91" t="s">
        <v>105</v>
      </c>
      <c r="K3" s="92">
        <f>SUMIF(B17:B513,"OT",K17:K513)</f>
        <v>0</v>
      </c>
      <c r="L3" s="416" t="e" vm="1">
        <v>#VALUE!</v>
      </c>
      <c r="M3" s="417"/>
    </row>
    <row r="4" spans="1:13" ht="16.5" customHeight="1" outlineLevel="1" x14ac:dyDescent="0.3">
      <c r="A4" s="6">
        <v>1</v>
      </c>
      <c r="B4" s="424" t="s">
        <v>91</v>
      </c>
      <c r="C4" s="424"/>
      <c r="D4" s="415" t="s">
        <v>96</v>
      </c>
      <c r="E4" s="415"/>
      <c r="F4" s="415"/>
      <c r="G4" s="8"/>
      <c r="H4" s="93" t="s">
        <v>106</v>
      </c>
      <c r="I4" s="94">
        <f>SUM(K17:K513)</f>
        <v>0</v>
      </c>
      <c r="J4" s="95" t="s">
        <v>78</v>
      </c>
      <c r="K4" s="96">
        <f>$I$4*G11</f>
        <v>0</v>
      </c>
      <c r="L4" s="416"/>
      <c r="M4" s="417"/>
    </row>
    <row r="5" spans="1:13" ht="16.5" customHeight="1" outlineLevel="1" x14ac:dyDescent="0.3">
      <c r="A5" s="6">
        <v>2</v>
      </c>
      <c r="B5" s="424" t="s">
        <v>92</v>
      </c>
      <c r="C5" s="424"/>
      <c r="D5" s="415" t="s">
        <v>97</v>
      </c>
      <c r="E5" s="415"/>
      <c r="F5" s="415"/>
      <c r="G5" s="8"/>
      <c r="H5" s="97" t="s">
        <v>110</v>
      </c>
      <c r="I5" s="94">
        <f>COUNTIF(K17:K513,"&gt;0")*$E$11</f>
        <v>0</v>
      </c>
      <c r="J5" s="95" t="s">
        <v>72</v>
      </c>
      <c r="K5" s="96">
        <f>$I$4*K11</f>
        <v>0</v>
      </c>
      <c r="L5" s="416"/>
      <c r="M5" s="417"/>
    </row>
    <row r="6" spans="1:13" ht="16.5" customHeight="1" outlineLevel="1" x14ac:dyDescent="0.3">
      <c r="A6" s="6">
        <v>3</v>
      </c>
      <c r="B6" s="424" t="s">
        <v>93</v>
      </c>
      <c r="C6" s="424"/>
      <c r="D6" s="415" t="s">
        <v>98</v>
      </c>
      <c r="E6" s="415"/>
      <c r="F6" s="415"/>
      <c r="G6" s="8"/>
      <c r="H6" s="97" t="s">
        <v>8</v>
      </c>
      <c r="I6" s="94">
        <f>$I$4*I11</f>
        <v>0</v>
      </c>
      <c r="J6" s="9" t="s">
        <v>107</v>
      </c>
      <c r="K6" s="10">
        <f>$I$4*J11</f>
        <v>0</v>
      </c>
      <c r="L6" s="416"/>
      <c r="M6" s="417"/>
    </row>
    <row r="7" spans="1:13" ht="16.5" customHeight="1" outlineLevel="1" x14ac:dyDescent="0.3">
      <c r="A7" s="6">
        <v>4</v>
      </c>
      <c r="B7" s="424" t="s">
        <v>94</v>
      </c>
      <c r="C7" s="424"/>
      <c r="D7" s="415" t="s">
        <v>99</v>
      </c>
      <c r="E7" s="415"/>
      <c r="F7" s="415"/>
      <c r="G7" s="8"/>
      <c r="H7" s="401" t="s">
        <v>108</v>
      </c>
      <c r="I7" s="402"/>
      <c r="J7" s="402"/>
      <c r="K7" s="98">
        <f>K5+I6+I5+I4+K4+K6</f>
        <v>0</v>
      </c>
      <c r="L7" s="416" t="e" vm="2">
        <v>#VALUE!</v>
      </c>
      <c r="M7" s="417"/>
    </row>
    <row r="8" spans="1:13" ht="16.5" customHeight="1" outlineLevel="1" thickBot="1" x14ac:dyDescent="0.35">
      <c r="A8" s="6">
        <v>5</v>
      </c>
      <c r="B8" s="424" t="s">
        <v>95</v>
      </c>
      <c r="C8" s="424"/>
      <c r="D8" s="415" t="s">
        <v>100</v>
      </c>
      <c r="E8" s="415"/>
      <c r="F8" s="415"/>
      <c r="G8" s="8"/>
      <c r="H8" s="428" t="s">
        <v>109</v>
      </c>
      <c r="I8" s="429"/>
      <c r="J8" s="429"/>
      <c r="K8" s="99">
        <f>K7/8</f>
        <v>0</v>
      </c>
      <c r="L8" s="416"/>
      <c r="M8" s="417"/>
    </row>
    <row r="9" spans="1:13" ht="15" outlineLevel="1" thickBot="1" x14ac:dyDescent="0.35">
      <c r="A9" s="425"/>
      <c r="B9" s="426"/>
      <c r="C9" s="426"/>
      <c r="D9" s="426"/>
      <c r="E9" s="426"/>
      <c r="F9" s="427"/>
      <c r="G9" s="8"/>
      <c r="H9" s="8"/>
      <c r="I9" s="8"/>
      <c r="J9" s="8"/>
      <c r="K9" s="11"/>
      <c r="L9" s="416"/>
      <c r="M9" s="417"/>
    </row>
    <row r="10" spans="1:13" ht="28.8" outlineLevel="1" x14ac:dyDescent="0.3">
      <c r="A10" s="406" t="s">
        <v>90</v>
      </c>
      <c r="B10" s="407"/>
      <c r="C10" s="410" t="s">
        <v>45</v>
      </c>
      <c r="D10" s="407"/>
      <c r="E10" s="410" t="s">
        <v>46</v>
      </c>
      <c r="F10" s="407"/>
      <c r="G10" s="410" t="s">
        <v>47</v>
      </c>
      <c r="H10" s="407"/>
      <c r="I10" s="12" t="s">
        <v>101</v>
      </c>
      <c r="J10" s="12" t="s">
        <v>102</v>
      </c>
      <c r="K10" s="13" t="s">
        <v>73</v>
      </c>
      <c r="L10" s="416"/>
      <c r="M10" s="417"/>
    </row>
    <row r="11" spans="1:13" ht="15" outlineLevel="1" thickBot="1" x14ac:dyDescent="0.35">
      <c r="A11" s="408">
        <v>3</v>
      </c>
      <c r="B11" s="409"/>
      <c r="C11" s="411">
        <v>6</v>
      </c>
      <c r="D11" s="409"/>
      <c r="E11" s="411">
        <v>2</v>
      </c>
      <c r="F11" s="409"/>
      <c r="G11" s="412">
        <v>0.1</v>
      </c>
      <c r="H11" s="413"/>
      <c r="I11" s="17">
        <v>0.1</v>
      </c>
      <c r="J11" s="17">
        <v>0.2</v>
      </c>
      <c r="K11" s="18">
        <v>0.1</v>
      </c>
      <c r="L11" s="416"/>
      <c r="M11" s="417"/>
    </row>
    <row r="12" spans="1:13" ht="15" outlineLevel="1" thickBot="1" x14ac:dyDescent="0.35">
      <c r="A12" s="403"/>
      <c r="B12" s="404"/>
      <c r="C12" s="404"/>
      <c r="D12" s="404"/>
      <c r="E12" s="404"/>
      <c r="F12" s="404"/>
      <c r="G12" s="404"/>
      <c r="H12" s="404"/>
      <c r="I12" s="404"/>
      <c r="J12" s="404"/>
      <c r="K12" s="405"/>
      <c r="L12" s="416"/>
      <c r="M12" s="417"/>
    </row>
    <row r="13" spans="1:13" ht="15" customHeight="1" thickBot="1" x14ac:dyDescent="0.35">
      <c r="A13" s="421" t="s">
        <v>48</v>
      </c>
      <c r="B13" s="422"/>
      <c r="C13" s="422"/>
      <c r="D13" s="422"/>
      <c r="E13" s="422"/>
      <c r="F13" s="422"/>
      <c r="G13" s="422"/>
      <c r="H13" s="422"/>
      <c r="I13" s="422"/>
      <c r="J13" s="422"/>
      <c r="K13" s="423"/>
      <c r="L13" s="430" t="s">
        <v>333</v>
      </c>
      <c r="M13" s="430"/>
    </row>
    <row r="14" spans="1:13" ht="15" thickBot="1" x14ac:dyDescent="0.35">
      <c r="A14" s="1"/>
      <c r="B14" s="4"/>
      <c r="C14" s="4"/>
      <c r="D14" s="4"/>
      <c r="E14" s="4"/>
      <c r="F14" s="4"/>
      <c r="G14" s="4"/>
      <c r="H14" s="4"/>
      <c r="I14" s="4"/>
      <c r="J14" s="4"/>
      <c r="K14" s="4"/>
      <c r="L14" s="430"/>
      <c r="M14" s="430"/>
    </row>
    <row r="15" spans="1:13" x14ac:dyDescent="0.3">
      <c r="A15" s="418" t="s">
        <v>223</v>
      </c>
      <c r="B15" s="419"/>
      <c r="C15" s="419"/>
      <c r="D15" s="419"/>
      <c r="E15" s="419"/>
      <c r="F15" s="419"/>
      <c r="G15" s="419"/>
      <c r="H15" s="419"/>
      <c r="I15" s="419"/>
      <c r="J15" s="419"/>
      <c r="K15" s="420"/>
      <c r="L15" s="430"/>
      <c r="M15" s="430"/>
    </row>
    <row r="16" spans="1:13" ht="29.4" thickBot="1" x14ac:dyDescent="0.35">
      <c r="A16" s="101" t="s">
        <v>35</v>
      </c>
      <c r="B16" s="102" t="s">
        <v>89</v>
      </c>
      <c r="C16" s="102" t="s">
        <v>36</v>
      </c>
      <c r="D16" s="102" t="s">
        <v>37</v>
      </c>
      <c r="E16" s="102" t="s">
        <v>38</v>
      </c>
      <c r="F16" s="102" t="s">
        <v>39</v>
      </c>
      <c r="G16" s="102" t="s">
        <v>40</v>
      </c>
      <c r="H16" s="102" t="s">
        <v>41</v>
      </c>
      <c r="I16" s="102" t="s">
        <v>42</v>
      </c>
      <c r="J16" s="103" t="s">
        <v>43</v>
      </c>
      <c r="K16" s="104" t="s">
        <v>20</v>
      </c>
      <c r="L16" s="430"/>
      <c r="M16" s="430"/>
    </row>
    <row r="17" spans="1:13" x14ac:dyDescent="0.3">
      <c r="A17" s="14"/>
      <c r="B17" s="14"/>
      <c r="C17" s="14"/>
      <c r="D17" s="14"/>
      <c r="E17" s="15"/>
      <c r="F17" s="14"/>
      <c r="G17" s="14"/>
      <c r="H17" s="14"/>
      <c r="I17" s="14"/>
      <c r="J17" s="16"/>
      <c r="K17" s="14"/>
      <c r="L17" s="430"/>
      <c r="M17" s="430"/>
    </row>
    <row r="18" spans="1:13" x14ac:dyDescent="0.3">
      <c r="A18" s="14"/>
      <c r="B18" s="14"/>
      <c r="C18" s="14"/>
      <c r="D18" s="14"/>
      <c r="E18" s="15"/>
      <c r="F18" s="14"/>
      <c r="G18" s="14"/>
      <c r="H18" s="14"/>
      <c r="I18" s="14"/>
      <c r="J18" s="16"/>
      <c r="K18" s="14"/>
      <c r="L18" s="430"/>
      <c r="M18" s="430"/>
    </row>
    <row r="19" spans="1:13" x14ac:dyDescent="0.3">
      <c r="A19" s="14"/>
      <c r="B19" s="14"/>
      <c r="C19" s="14"/>
      <c r="D19" s="14"/>
      <c r="E19" s="15"/>
      <c r="F19" s="14"/>
      <c r="G19" s="14"/>
      <c r="H19" s="14"/>
      <c r="I19" s="14"/>
      <c r="J19" s="16"/>
      <c r="K19" s="14"/>
      <c r="L19" s="430"/>
      <c r="M19" s="430"/>
    </row>
    <row r="20" spans="1:13" x14ac:dyDescent="0.3">
      <c r="A20" s="14"/>
      <c r="B20" s="14"/>
      <c r="C20" s="14"/>
      <c r="D20" s="14"/>
      <c r="E20" s="15"/>
      <c r="F20" s="14"/>
      <c r="G20" s="14"/>
      <c r="H20" s="14"/>
      <c r="I20" s="14"/>
      <c r="J20" s="16"/>
      <c r="K20" s="14"/>
      <c r="L20" s="430"/>
      <c r="M20" s="430"/>
    </row>
    <row r="21" spans="1:13" x14ac:dyDescent="0.3">
      <c r="A21" s="14"/>
      <c r="B21" s="14"/>
      <c r="C21" s="272"/>
      <c r="D21" s="14"/>
      <c r="E21" s="14"/>
      <c r="F21" s="14"/>
      <c r="G21" s="14"/>
      <c r="H21" s="14"/>
      <c r="I21" s="14"/>
      <c r="J21" s="16"/>
      <c r="K21" s="14"/>
      <c r="L21" s="430"/>
      <c r="M21" s="430"/>
    </row>
    <row r="22" spans="1:13" x14ac:dyDescent="0.3">
      <c r="A22" s="14"/>
      <c r="B22" s="14"/>
      <c r="C22" s="272"/>
      <c r="D22" s="14"/>
      <c r="E22" s="14"/>
      <c r="F22" s="14"/>
      <c r="G22" s="14"/>
      <c r="H22" s="14"/>
      <c r="I22" s="14"/>
      <c r="J22" s="16"/>
      <c r="K22" s="14"/>
      <c r="L22" s="430"/>
      <c r="M22" s="430"/>
    </row>
    <row r="23" spans="1:13" x14ac:dyDescent="0.3">
      <c r="A23" s="14"/>
      <c r="B23" s="14"/>
      <c r="C23" s="272"/>
      <c r="D23" s="14"/>
      <c r="E23" s="14"/>
      <c r="F23" s="14"/>
      <c r="G23" s="14"/>
      <c r="H23" s="14"/>
      <c r="I23" s="14"/>
      <c r="J23" s="16"/>
      <c r="K23" s="14"/>
      <c r="L23" s="430"/>
      <c r="M23" s="430"/>
    </row>
    <row r="24" spans="1:13" x14ac:dyDescent="0.3">
      <c r="A24" s="14"/>
      <c r="B24" s="14"/>
      <c r="C24" s="272"/>
      <c r="D24" s="14"/>
      <c r="E24" s="14"/>
      <c r="F24" s="14"/>
      <c r="G24" s="14"/>
      <c r="H24" s="14"/>
      <c r="I24" s="14"/>
      <c r="J24" s="16"/>
      <c r="K24" s="14"/>
      <c r="L24" s="7"/>
      <c r="M24" s="7"/>
    </row>
    <row r="25" spans="1:13" x14ac:dyDescent="0.3">
      <c r="A25" s="14"/>
      <c r="B25" s="14"/>
      <c r="C25" s="14"/>
      <c r="D25" s="14"/>
      <c r="E25" s="15"/>
      <c r="F25" s="14"/>
      <c r="G25" s="14"/>
      <c r="H25" s="14"/>
      <c r="I25" s="14"/>
      <c r="J25" s="16"/>
      <c r="K25" s="14"/>
      <c r="L25" s="7"/>
      <c r="M25" s="7"/>
    </row>
    <row r="26" spans="1:13" x14ac:dyDescent="0.3">
      <c r="A26" s="14">
        <v>10</v>
      </c>
      <c r="B26" s="14"/>
      <c r="C26" s="14"/>
      <c r="D26" s="14"/>
      <c r="E26" s="15"/>
      <c r="F26" s="14"/>
      <c r="G26" s="14"/>
      <c r="H26" s="14"/>
      <c r="I26" s="14"/>
      <c r="J26" s="16"/>
      <c r="K26" s="14">
        <f>Table1[[#This Row],[Complexity]]*$A$11+SUM(Table1[[#This Row],[Other 
Integration]:[OEM 
Integration]])*$C$11</f>
        <v>0</v>
      </c>
      <c r="L26" s="7"/>
      <c r="M26" s="7"/>
    </row>
    <row r="27" spans="1:13" x14ac:dyDescent="0.3">
      <c r="A27" s="14">
        <v>11</v>
      </c>
      <c r="B27" s="14"/>
      <c r="C27" s="14"/>
      <c r="D27" s="14"/>
      <c r="E27" s="15"/>
      <c r="F27" s="14"/>
      <c r="G27" s="14"/>
      <c r="H27" s="14"/>
      <c r="I27" s="14"/>
      <c r="J27" s="16"/>
      <c r="K27" s="14">
        <f>Table1[[#This Row],[Complexity]]*$A$11+SUM(Table1[[#This Row],[Other 
Integration]:[OEM 
Integration]])*$C$11</f>
        <v>0</v>
      </c>
      <c r="L27" s="7"/>
      <c r="M27" s="7"/>
    </row>
    <row r="28" spans="1:13" x14ac:dyDescent="0.3">
      <c r="A28" s="14">
        <v>12</v>
      </c>
      <c r="B28" s="14"/>
      <c r="C28" s="14"/>
      <c r="D28" s="14"/>
      <c r="E28" s="15"/>
      <c r="F28" s="14"/>
      <c r="G28" s="14"/>
      <c r="H28" s="14"/>
      <c r="I28" s="14"/>
      <c r="J28" s="16"/>
      <c r="K28" s="14">
        <f>Table1[[#This Row],[Complexity]]*$A$11+SUM(Table1[[#This Row],[Other 
Integration]:[OEM 
Integration]])*$C$11</f>
        <v>0</v>
      </c>
      <c r="L28" s="7"/>
      <c r="M28" s="7"/>
    </row>
    <row r="29" spans="1:13" x14ac:dyDescent="0.3">
      <c r="A29" s="14">
        <v>13</v>
      </c>
      <c r="B29" s="14"/>
      <c r="C29" s="14"/>
      <c r="D29" s="14"/>
      <c r="E29" s="15"/>
      <c r="F29" s="14"/>
      <c r="G29" s="14"/>
      <c r="H29" s="14"/>
      <c r="I29" s="14"/>
      <c r="J29" s="16"/>
      <c r="K29" s="14">
        <f>Table1[[#This Row],[Complexity]]*$A$11+SUM(Table1[[#This Row],[Other 
Integration]:[OEM 
Integration]])*$C$11</f>
        <v>0</v>
      </c>
      <c r="L29" s="7"/>
      <c r="M29" s="7"/>
    </row>
    <row r="30" spans="1:13" x14ac:dyDescent="0.3">
      <c r="A30" s="14">
        <v>14</v>
      </c>
      <c r="B30" s="14"/>
      <c r="C30" s="14"/>
      <c r="D30" s="14"/>
      <c r="E30" s="15"/>
      <c r="F30" s="14"/>
      <c r="G30" s="14"/>
      <c r="H30" s="14"/>
      <c r="I30" s="14"/>
      <c r="J30" s="16"/>
      <c r="K30" s="14">
        <f>Table1[[#This Row],[Complexity]]*$A$11+SUM(Table1[[#This Row],[Other 
Integration]:[OEM 
Integration]])*$C$11</f>
        <v>0</v>
      </c>
      <c r="L30" s="7"/>
      <c r="M30" s="7"/>
    </row>
    <row r="31" spans="1:13" x14ac:dyDescent="0.3">
      <c r="A31" s="14">
        <v>15</v>
      </c>
      <c r="B31" s="14"/>
      <c r="C31" s="14"/>
      <c r="D31" s="14"/>
      <c r="E31" s="15"/>
      <c r="F31" s="14"/>
      <c r="G31" s="14"/>
      <c r="H31" s="14"/>
      <c r="I31" s="14"/>
      <c r="J31" s="16"/>
      <c r="K31" s="14">
        <f>Table1[[#This Row],[Complexity]]*$A$11+SUM(Table1[[#This Row],[Other 
Integration]:[OEM 
Integration]])*$C$11</f>
        <v>0</v>
      </c>
      <c r="L31" s="7"/>
      <c r="M31" s="7"/>
    </row>
    <row r="32" spans="1:13" x14ac:dyDescent="0.3">
      <c r="A32" s="14">
        <v>16</v>
      </c>
      <c r="B32" s="14"/>
      <c r="C32" s="14"/>
      <c r="D32" s="14"/>
      <c r="E32" s="15"/>
      <c r="F32" s="14"/>
      <c r="G32" s="14"/>
      <c r="H32" s="14"/>
      <c r="I32" s="14"/>
      <c r="J32" s="16"/>
      <c r="K32" s="14">
        <f>Table1[[#This Row],[Complexity]]*$A$11+SUM(Table1[[#This Row],[Other 
Integration]:[OEM 
Integration]])*$C$11</f>
        <v>0</v>
      </c>
      <c r="L32" s="7"/>
      <c r="M32" s="7"/>
    </row>
    <row r="33" spans="1:13" x14ac:dyDescent="0.3">
      <c r="A33" s="14">
        <v>17</v>
      </c>
      <c r="B33" s="14"/>
      <c r="C33" s="14"/>
      <c r="D33" s="14"/>
      <c r="E33" s="15"/>
      <c r="F33" s="14"/>
      <c r="G33" s="14"/>
      <c r="H33" s="14"/>
      <c r="I33" s="14"/>
      <c r="J33" s="16"/>
      <c r="K33" s="14">
        <f>Table1[[#This Row],[Complexity]]*$A$11+SUM(Table1[[#This Row],[Other 
Integration]:[OEM 
Integration]])*$C$11</f>
        <v>0</v>
      </c>
      <c r="L33" s="7"/>
      <c r="M33" s="7"/>
    </row>
    <row r="34" spans="1:13" x14ac:dyDescent="0.3">
      <c r="A34" s="14">
        <v>18</v>
      </c>
      <c r="B34" s="14"/>
      <c r="C34" s="14"/>
      <c r="D34" s="14"/>
      <c r="E34" s="15"/>
      <c r="F34" s="14"/>
      <c r="G34" s="14"/>
      <c r="H34" s="14"/>
      <c r="I34" s="14"/>
      <c r="J34" s="16"/>
      <c r="K34" s="14">
        <f>Table1[[#This Row],[Complexity]]*$A$11+SUM(Table1[[#This Row],[Other 
Integration]:[OEM 
Integration]])*$C$11</f>
        <v>0</v>
      </c>
      <c r="L34" s="7"/>
      <c r="M34" s="7"/>
    </row>
    <row r="35" spans="1:13" x14ac:dyDescent="0.3">
      <c r="A35" s="14">
        <v>19</v>
      </c>
      <c r="B35" s="14"/>
      <c r="C35" s="14"/>
      <c r="D35" s="14"/>
      <c r="E35" s="15"/>
      <c r="F35" s="14"/>
      <c r="G35" s="14"/>
      <c r="H35" s="14"/>
      <c r="I35" s="14"/>
      <c r="J35" s="16"/>
      <c r="K35" s="14">
        <f>Table1[[#This Row],[Complexity]]*$A$11+SUM(Table1[[#This Row],[Other 
Integration]:[OEM 
Integration]])*$C$11</f>
        <v>0</v>
      </c>
      <c r="L35" s="7"/>
      <c r="M35" s="7"/>
    </row>
    <row r="36" spans="1:13" x14ac:dyDescent="0.3">
      <c r="A36" s="14">
        <v>20</v>
      </c>
      <c r="B36" s="14"/>
      <c r="C36" s="14"/>
      <c r="D36" s="14"/>
      <c r="E36" s="15"/>
      <c r="F36" s="14"/>
      <c r="G36" s="14"/>
      <c r="H36" s="14"/>
      <c r="I36" s="14"/>
      <c r="J36" s="16"/>
      <c r="K36" s="14">
        <f>Table1[[#This Row],[Complexity]]*$A$11+SUM(Table1[[#This Row],[Other 
Integration]:[OEM 
Integration]])*$C$11</f>
        <v>0</v>
      </c>
      <c r="L36" s="7"/>
      <c r="M36" s="7"/>
    </row>
    <row r="37" spans="1:13" x14ac:dyDescent="0.3">
      <c r="A37" s="14">
        <v>21</v>
      </c>
      <c r="B37" s="14"/>
      <c r="C37" s="14"/>
      <c r="D37" s="14"/>
      <c r="E37" s="15"/>
      <c r="F37" s="14"/>
      <c r="G37" s="14"/>
      <c r="H37" s="14"/>
      <c r="I37" s="14"/>
      <c r="J37" s="16"/>
      <c r="K37" s="14">
        <f>Table1[[#This Row],[Complexity]]*$A$11+SUM(Table1[[#This Row],[Other 
Integration]:[OEM 
Integration]])*$C$11</f>
        <v>0</v>
      </c>
      <c r="L37" s="7"/>
      <c r="M37" s="7"/>
    </row>
    <row r="38" spans="1:13" x14ac:dyDescent="0.3">
      <c r="A38" s="14">
        <v>22</v>
      </c>
      <c r="B38" s="14"/>
      <c r="C38" s="14"/>
      <c r="D38" s="14"/>
      <c r="E38" s="15"/>
      <c r="F38" s="14"/>
      <c r="G38" s="14"/>
      <c r="H38" s="14"/>
      <c r="I38" s="14"/>
      <c r="J38" s="16"/>
      <c r="K38" s="14">
        <f>Table1[[#This Row],[Complexity]]*$A$11+SUM(Table1[[#This Row],[Other 
Integration]:[OEM 
Integration]])*$C$11</f>
        <v>0</v>
      </c>
      <c r="L38" s="7"/>
      <c r="M38" s="7"/>
    </row>
    <row r="39" spans="1:13" x14ac:dyDescent="0.3">
      <c r="A39" s="14">
        <v>23</v>
      </c>
      <c r="B39" s="14"/>
      <c r="C39" s="14"/>
      <c r="D39" s="14"/>
      <c r="E39" s="15"/>
      <c r="F39" s="14"/>
      <c r="G39" s="14"/>
      <c r="H39" s="14"/>
      <c r="I39" s="14"/>
      <c r="J39" s="16"/>
      <c r="K39" s="14">
        <f>Table1[[#This Row],[Complexity]]*$A$11+SUM(Table1[[#This Row],[Other 
Integration]:[OEM 
Integration]])*$C$11</f>
        <v>0</v>
      </c>
      <c r="L39" s="7"/>
      <c r="M39" s="7"/>
    </row>
    <row r="40" spans="1:13" x14ac:dyDescent="0.3">
      <c r="A40" s="14">
        <v>24</v>
      </c>
      <c r="B40" s="14"/>
      <c r="C40" s="14"/>
      <c r="D40" s="14"/>
      <c r="E40" s="15"/>
      <c r="F40" s="14"/>
      <c r="G40" s="14"/>
      <c r="H40" s="14"/>
      <c r="I40" s="14"/>
      <c r="J40" s="16"/>
      <c r="K40" s="14">
        <f>Table1[[#This Row],[Complexity]]*$A$11+SUM(Table1[[#This Row],[Other 
Integration]:[OEM 
Integration]])*$C$11</f>
        <v>0</v>
      </c>
      <c r="L40" s="7"/>
      <c r="M40" s="7"/>
    </row>
    <row r="41" spans="1:13" x14ac:dyDescent="0.3">
      <c r="A41" s="14">
        <v>25</v>
      </c>
      <c r="B41" s="14"/>
      <c r="C41" s="14"/>
      <c r="D41" s="14"/>
      <c r="E41" s="15"/>
      <c r="F41" s="14"/>
      <c r="G41" s="14"/>
      <c r="H41" s="14"/>
      <c r="I41" s="14"/>
      <c r="J41" s="16"/>
      <c r="K41" s="14">
        <f>Table1[[#This Row],[Complexity]]*$A$11+SUM(Table1[[#This Row],[Other 
Integration]:[OEM 
Integration]])*$C$11</f>
        <v>0</v>
      </c>
      <c r="L41" s="7"/>
      <c r="M41" s="7"/>
    </row>
    <row r="42" spans="1:13" x14ac:dyDescent="0.3">
      <c r="A42" s="14">
        <v>26</v>
      </c>
      <c r="B42" s="14"/>
      <c r="C42" s="14"/>
      <c r="D42" s="14"/>
      <c r="E42" s="15"/>
      <c r="F42" s="14"/>
      <c r="G42" s="14"/>
      <c r="H42" s="14"/>
      <c r="I42" s="14"/>
      <c r="J42" s="16"/>
      <c r="K42" s="14">
        <f>Table1[[#This Row],[Complexity]]*$A$11+SUM(Table1[[#This Row],[Other 
Integration]:[OEM 
Integration]])*$C$11</f>
        <v>0</v>
      </c>
      <c r="L42" s="7"/>
      <c r="M42" s="7"/>
    </row>
    <row r="43" spans="1:13" x14ac:dyDescent="0.3">
      <c r="A43" s="14">
        <v>27</v>
      </c>
      <c r="B43" s="14"/>
      <c r="C43" s="14"/>
      <c r="D43" s="14"/>
      <c r="E43" s="15"/>
      <c r="F43" s="14"/>
      <c r="G43" s="14"/>
      <c r="H43" s="14"/>
      <c r="I43" s="14"/>
      <c r="J43" s="16"/>
      <c r="K43" s="14">
        <f>Table1[[#This Row],[Complexity]]*$A$11+SUM(Table1[[#This Row],[Other 
Integration]:[OEM 
Integration]])*$C$11</f>
        <v>0</v>
      </c>
      <c r="L43" s="7"/>
      <c r="M43" s="7"/>
    </row>
    <row r="44" spans="1:13" x14ac:dyDescent="0.3">
      <c r="A44" s="14">
        <v>28</v>
      </c>
      <c r="B44" s="14"/>
      <c r="C44" s="14"/>
      <c r="D44" s="14"/>
      <c r="E44" s="15"/>
      <c r="F44" s="14"/>
      <c r="G44" s="14"/>
      <c r="H44" s="14"/>
      <c r="I44" s="14"/>
      <c r="J44" s="16"/>
      <c r="K44" s="14">
        <f>Table1[[#This Row],[Complexity]]*$A$11+SUM(Table1[[#This Row],[Other 
Integration]:[OEM 
Integration]])*$C$11</f>
        <v>0</v>
      </c>
      <c r="L44" s="7"/>
      <c r="M44" s="7"/>
    </row>
    <row r="45" spans="1:13" x14ac:dyDescent="0.3">
      <c r="A45" s="14">
        <v>29</v>
      </c>
      <c r="B45" s="14"/>
      <c r="C45" s="14"/>
      <c r="D45" s="14"/>
      <c r="E45" s="15"/>
      <c r="F45" s="14"/>
      <c r="G45" s="14"/>
      <c r="H45" s="14"/>
      <c r="I45" s="14"/>
      <c r="J45" s="16"/>
      <c r="K45" s="14">
        <f>Table1[[#This Row],[Complexity]]*$A$11+SUM(Table1[[#This Row],[Other 
Integration]:[OEM 
Integration]])*$C$11</f>
        <v>0</v>
      </c>
      <c r="L45" s="7"/>
      <c r="M45" s="7"/>
    </row>
    <row r="46" spans="1:13" x14ac:dyDescent="0.3">
      <c r="A46" s="14">
        <v>30</v>
      </c>
      <c r="B46" s="14"/>
      <c r="C46" s="14"/>
      <c r="D46" s="14"/>
      <c r="E46" s="15"/>
      <c r="F46" s="14"/>
      <c r="G46" s="14"/>
      <c r="H46" s="14"/>
      <c r="I46" s="14"/>
      <c r="J46" s="16"/>
      <c r="K46" s="14">
        <f>Table1[[#This Row],[Complexity]]*$A$11+SUM(Table1[[#This Row],[Other 
Integration]:[OEM 
Integration]])*$C$11</f>
        <v>0</v>
      </c>
      <c r="L46" s="7"/>
      <c r="M46" s="7"/>
    </row>
    <row r="47" spans="1:13" x14ac:dyDescent="0.3">
      <c r="A47" s="14">
        <v>31</v>
      </c>
      <c r="B47" s="14"/>
      <c r="C47" s="14"/>
      <c r="D47" s="14"/>
      <c r="E47" s="15"/>
      <c r="F47" s="14"/>
      <c r="G47" s="14"/>
      <c r="H47" s="14"/>
      <c r="I47" s="14"/>
      <c r="J47" s="16"/>
      <c r="K47" s="14">
        <f>Table1[[#This Row],[Complexity]]*$A$11+SUM(Table1[[#This Row],[Other 
Integration]:[OEM 
Integration]])*$C$11</f>
        <v>0</v>
      </c>
      <c r="L47" s="7"/>
      <c r="M47" s="7"/>
    </row>
    <row r="48" spans="1:13" x14ac:dyDescent="0.3">
      <c r="A48" s="14">
        <v>32</v>
      </c>
      <c r="B48" s="14"/>
      <c r="C48" s="14"/>
      <c r="D48" s="14"/>
      <c r="E48" s="15"/>
      <c r="F48" s="14"/>
      <c r="G48" s="14"/>
      <c r="H48" s="14"/>
      <c r="I48" s="14"/>
      <c r="J48" s="16"/>
      <c r="K48" s="14">
        <f>Table1[[#This Row],[Complexity]]*$A$11+SUM(Table1[[#This Row],[Other 
Integration]:[OEM 
Integration]])*$C$11</f>
        <v>0</v>
      </c>
      <c r="L48" s="7"/>
      <c r="M48" s="7"/>
    </row>
    <row r="49" spans="1:13" x14ac:dyDescent="0.3">
      <c r="A49" s="14">
        <v>33</v>
      </c>
      <c r="B49" s="14"/>
      <c r="C49" s="14"/>
      <c r="D49" s="14"/>
      <c r="E49" s="15"/>
      <c r="F49" s="14"/>
      <c r="G49" s="14"/>
      <c r="H49" s="14"/>
      <c r="I49" s="14"/>
      <c r="J49" s="16"/>
      <c r="K49" s="14">
        <f>Table1[[#This Row],[Complexity]]*$A$11+SUM(Table1[[#This Row],[Other 
Integration]:[OEM 
Integration]])*$C$11</f>
        <v>0</v>
      </c>
      <c r="L49" s="7"/>
      <c r="M49" s="7"/>
    </row>
    <row r="50" spans="1:13" x14ac:dyDescent="0.3">
      <c r="A50" s="14">
        <v>34</v>
      </c>
      <c r="B50" s="14"/>
      <c r="C50" s="14"/>
      <c r="D50" s="14"/>
      <c r="E50" s="15"/>
      <c r="F50" s="14"/>
      <c r="G50" s="14"/>
      <c r="H50" s="14"/>
      <c r="I50" s="14"/>
      <c r="J50" s="16"/>
      <c r="K50" s="14">
        <f>Table1[[#This Row],[Complexity]]*$A$11+SUM(Table1[[#This Row],[Other 
Integration]:[OEM 
Integration]])*$C$11</f>
        <v>0</v>
      </c>
      <c r="L50" s="7"/>
      <c r="M50" s="7"/>
    </row>
    <row r="51" spans="1:13" x14ac:dyDescent="0.3">
      <c r="A51" s="14">
        <v>35</v>
      </c>
      <c r="B51" s="14"/>
      <c r="C51" s="14"/>
      <c r="D51" s="14"/>
      <c r="E51" s="15"/>
      <c r="F51" s="14"/>
      <c r="G51" s="14"/>
      <c r="H51" s="14"/>
      <c r="I51" s="14"/>
      <c r="J51" s="16"/>
      <c r="K51" s="14">
        <f>Table1[[#This Row],[Complexity]]*$A$11+SUM(Table1[[#This Row],[Other 
Integration]:[OEM 
Integration]])*$C$11</f>
        <v>0</v>
      </c>
      <c r="L51" s="7"/>
      <c r="M51" s="7"/>
    </row>
    <row r="52" spans="1:13" x14ac:dyDescent="0.3">
      <c r="A52" s="14">
        <v>36</v>
      </c>
      <c r="B52" s="14"/>
      <c r="C52" s="14"/>
      <c r="D52" s="14"/>
      <c r="E52" s="15"/>
      <c r="F52" s="14"/>
      <c r="G52" s="14"/>
      <c r="H52" s="14"/>
      <c r="I52" s="14"/>
      <c r="J52" s="16"/>
      <c r="K52" s="14">
        <f>Table1[[#This Row],[Complexity]]*$A$11+SUM(Table1[[#This Row],[Other 
Integration]:[OEM 
Integration]])*$C$11</f>
        <v>0</v>
      </c>
      <c r="L52" s="7"/>
      <c r="M52" s="7"/>
    </row>
    <row r="53" spans="1:13" x14ac:dyDescent="0.3">
      <c r="A53" s="14">
        <v>37</v>
      </c>
      <c r="B53" s="14"/>
      <c r="C53" s="14"/>
      <c r="D53" s="14"/>
      <c r="E53" s="15"/>
      <c r="F53" s="14"/>
      <c r="G53" s="14"/>
      <c r="H53" s="14"/>
      <c r="I53" s="14"/>
      <c r="J53" s="16"/>
      <c r="K53" s="14">
        <f>Table1[[#This Row],[Complexity]]*$A$11+SUM(Table1[[#This Row],[Other 
Integration]:[OEM 
Integration]])*$C$11</f>
        <v>0</v>
      </c>
      <c r="L53" s="7"/>
      <c r="M53" s="7"/>
    </row>
    <row r="54" spans="1:13" x14ac:dyDescent="0.3">
      <c r="A54" s="14">
        <v>38</v>
      </c>
      <c r="B54" s="14"/>
      <c r="C54" s="14"/>
      <c r="D54" s="14"/>
      <c r="E54" s="15"/>
      <c r="F54" s="14"/>
      <c r="G54" s="14"/>
      <c r="H54" s="14"/>
      <c r="I54" s="14"/>
      <c r="J54" s="16"/>
      <c r="K54" s="14">
        <f>Table1[[#This Row],[Complexity]]*$A$11+SUM(Table1[[#This Row],[Other 
Integration]:[OEM 
Integration]])*$C$11</f>
        <v>0</v>
      </c>
      <c r="L54" s="7"/>
      <c r="M54" s="7"/>
    </row>
    <row r="55" spans="1:13" x14ac:dyDescent="0.3">
      <c r="A55" s="14">
        <v>39</v>
      </c>
      <c r="B55" s="14"/>
      <c r="C55" s="14"/>
      <c r="D55" s="14"/>
      <c r="E55" s="15"/>
      <c r="F55" s="14"/>
      <c r="G55" s="14"/>
      <c r="H55" s="14"/>
      <c r="I55" s="14"/>
      <c r="J55" s="16"/>
      <c r="K55" s="14">
        <f>Table1[[#This Row],[Complexity]]*$A$11+SUM(Table1[[#This Row],[Other 
Integration]:[OEM 
Integration]])*$C$11</f>
        <v>0</v>
      </c>
      <c r="L55" s="7"/>
      <c r="M55" s="7"/>
    </row>
    <row r="56" spans="1:13" x14ac:dyDescent="0.3">
      <c r="A56" s="14">
        <v>40</v>
      </c>
      <c r="B56" s="14"/>
      <c r="C56" s="14"/>
      <c r="D56" s="14"/>
      <c r="E56" s="15"/>
      <c r="F56" s="14"/>
      <c r="G56" s="14"/>
      <c r="H56" s="14"/>
      <c r="I56" s="14"/>
      <c r="J56" s="16"/>
      <c r="K56" s="14">
        <f>Table1[[#This Row],[Complexity]]*$A$11+SUM(Table1[[#This Row],[Other 
Integration]:[OEM 
Integration]])*$C$11</f>
        <v>0</v>
      </c>
      <c r="L56" s="7"/>
      <c r="M56" s="7"/>
    </row>
    <row r="57" spans="1:13" x14ac:dyDescent="0.3">
      <c r="A57" s="14">
        <v>41</v>
      </c>
      <c r="B57" s="14"/>
      <c r="C57" s="14"/>
      <c r="D57" s="14"/>
      <c r="E57" s="15"/>
      <c r="F57" s="14"/>
      <c r="G57" s="14"/>
      <c r="H57" s="14"/>
      <c r="I57" s="14"/>
      <c r="J57" s="16"/>
      <c r="K57" s="14">
        <f>Table1[[#This Row],[Complexity]]*$A$11+SUM(Table1[[#This Row],[Other 
Integration]:[OEM 
Integration]])*$C$11</f>
        <v>0</v>
      </c>
      <c r="L57" s="7"/>
      <c r="M57" s="7"/>
    </row>
    <row r="58" spans="1:13" x14ac:dyDescent="0.3">
      <c r="A58" s="14">
        <v>42</v>
      </c>
      <c r="B58" s="14"/>
      <c r="C58" s="14"/>
      <c r="D58" s="14"/>
      <c r="E58" s="15"/>
      <c r="F58" s="14"/>
      <c r="G58" s="14"/>
      <c r="H58" s="14"/>
      <c r="I58" s="14"/>
      <c r="J58" s="16"/>
      <c r="K58" s="14">
        <f>Table1[[#This Row],[Complexity]]*$A$11+SUM(Table1[[#This Row],[Other 
Integration]:[OEM 
Integration]])*$C$11</f>
        <v>0</v>
      </c>
      <c r="L58" s="7"/>
      <c r="M58" s="7"/>
    </row>
    <row r="59" spans="1:13" x14ac:dyDescent="0.3">
      <c r="A59" s="14">
        <v>43</v>
      </c>
      <c r="B59" s="14"/>
      <c r="C59" s="14"/>
      <c r="D59" s="14"/>
      <c r="E59" s="15"/>
      <c r="F59" s="14"/>
      <c r="G59" s="14"/>
      <c r="H59" s="14"/>
      <c r="I59" s="14"/>
      <c r="J59" s="16"/>
      <c r="K59" s="14">
        <f>Table1[[#This Row],[Complexity]]*$A$11+SUM(Table1[[#This Row],[Other 
Integration]:[OEM 
Integration]])*$C$11</f>
        <v>0</v>
      </c>
      <c r="L59" s="7"/>
      <c r="M59" s="7"/>
    </row>
    <row r="60" spans="1:13" x14ac:dyDescent="0.3">
      <c r="A60" s="14">
        <v>44</v>
      </c>
      <c r="B60" s="14"/>
      <c r="C60" s="14"/>
      <c r="D60" s="14"/>
      <c r="E60" s="15"/>
      <c r="F60" s="14"/>
      <c r="G60" s="14"/>
      <c r="H60" s="14"/>
      <c r="I60" s="14"/>
      <c r="J60" s="16"/>
      <c r="K60" s="14">
        <f>Table1[[#This Row],[Complexity]]*$A$11+SUM(Table1[[#This Row],[Other 
Integration]:[OEM 
Integration]])*$C$11</f>
        <v>0</v>
      </c>
      <c r="L60" s="7"/>
      <c r="M60" s="7"/>
    </row>
    <row r="61" spans="1:13" x14ac:dyDescent="0.3">
      <c r="A61" s="14">
        <v>45</v>
      </c>
      <c r="B61" s="14"/>
      <c r="C61" s="14"/>
      <c r="D61" s="14"/>
      <c r="E61" s="15"/>
      <c r="F61" s="14"/>
      <c r="G61" s="14"/>
      <c r="H61" s="14"/>
      <c r="I61" s="14"/>
      <c r="J61" s="16"/>
      <c r="K61" s="14">
        <f>Table1[[#This Row],[Complexity]]*$A$11+SUM(Table1[[#This Row],[Other 
Integration]:[OEM 
Integration]])*$C$11</f>
        <v>0</v>
      </c>
      <c r="L61" s="7"/>
      <c r="M61" s="7"/>
    </row>
    <row r="62" spans="1:13" x14ac:dyDescent="0.3">
      <c r="A62" s="14">
        <v>46</v>
      </c>
      <c r="B62" s="14"/>
      <c r="C62" s="14"/>
      <c r="D62" s="14"/>
      <c r="E62" s="15"/>
      <c r="F62" s="14"/>
      <c r="G62" s="14"/>
      <c r="H62" s="14"/>
      <c r="I62" s="14"/>
      <c r="J62" s="16"/>
      <c r="K62" s="14">
        <f>Table1[[#This Row],[Complexity]]*$A$11+SUM(Table1[[#This Row],[Other 
Integration]:[OEM 
Integration]])*$C$11</f>
        <v>0</v>
      </c>
      <c r="L62" s="7"/>
      <c r="M62" s="7"/>
    </row>
    <row r="63" spans="1:13" x14ac:dyDescent="0.3">
      <c r="A63" s="14">
        <v>47</v>
      </c>
      <c r="B63" s="14"/>
      <c r="C63" s="14"/>
      <c r="D63" s="14"/>
      <c r="E63" s="15"/>
      <c r="F63" s="14"/>
      <c r="G63" s="14"/>
      <c r="H63" s="14"/>
      <c r="I63" s="14"/>
      <c r="J63" s="16"/>
      <c r="K63" s="14">
        <f>Table1[[#This Row],[Complexity]]*$A$11+SUM(Table1[[#This Row],[Other 
Integration]:[OEM 
Integration]])*$C$11</f>
        <v>0</v>
      </c>
      <c r="L63" s="7"/>
      <c r="M63" s="7"/>
    </row>
    <row r="64" spans="1:13" x14ac:dyDescent="0.3">
      <c r="A64" s="14">
        <v>48</v>
      </c>
      <c r="B64" s="14"/>
      <c r="C64" s="14"/>
      <c r="D64" s="14"/>
      <c r="E64" s="15"/>
      <c r="F64" s="14"/>
      <c r="G64" s="14"/>
      <c r="H64" s="14"/>
      <c r="I64" s="14"/>
      <c r="J64" s="16"/>
      <c r="K64" s="14">
        <f>Table1[[#This Row],[Complexity]]*$A$11+SUM(Table1[[#This Row],[Other 
Integration]:[OEM 
Integration]])*$C$11</f>
        <v>0</v>
      </c>
      <c r="L64" s="7"/>
      <c r="M64" s="7"/>
    </row>
    <row r="65" spans="1:13" x14ac:dyDescent="0.3">
      <c r="A65" s="14">
        <v>49</v>
      </c>
      <c r="B65" s="14"/>
      <c r="C65" s="14"/>
      <c r="D65" s="14"/>
      <c r="E65" s="15"/>
      <c r="F65" s="14"/>
      <c r="G65" s="14"/>
      <c r="H65" s="14"/>
      <c r="I65" s="14"/>
      <c r="J65" s="16"/>
      <c r="K65" s="14">
        <f>Table1[[#This Row],[Complexity]]*$A$11+SUM(Table1[[#This Row],[Other 
Integration]:[OEM 
Integration]])*$C$11</f>
        <v>0</v>
      </c>
      <c r="L65" s="7"/>
      <c r="M65" s="7"/>
    </row>
    <row r="66" spans="1:13" x14ac:dyDescent="0.3">
      <c r="A66" s="14">
        <v>50</v>
      </c>
      <c r="B66" s="14"/>
      <c r="C66" s="14"/>
      <c r="D66" s="14"/>
      <c r="E66" s="15"/>
      <c r="F66" s="14"/>
      <c r="G66" s="14"/>
      <c r="H66" s="14"/>
      <c r="I66" s="14"/>
      <c r="J66" s="16"/>
      <c r="K66" s="14">
        <f>Table1[[#This Row],[Complexity]]*$A$11+SUM(Table1[[#This Row],[Other 
Integration]:[OEM 
Integration]])*$C$11</f>
        <v>0</v>
      </c>
      <c r="L66" s="7"/>
      <c r="M66" s="7"/>
    </row>
    <row r="67" spans="1:13" x14ac:dyDescent="0.3">
      <c r="A67" s="14">
        <v>51</v>
      </c>
      <c r="B67" s="14"/>
      <c r="C67" s="14"/>
      <c r="D67" s="14"/>
      <c r="E67" s="15"/>
      <c r="F67" s="14"/>
      <c r="G67" s="14"/>
      <c r="H67" s="14"/>
      <c r="I67" s="14"/>
      <c r="J67" s="16"/>
      <c r="K67" s="14">
        <f>Table1[[#This Row],[Complexity]]*$A$11+SUM(Table1[[#This Row],[Other 
Integration]:[OEM 
Integration]])*$C$11</f>
        <v>0</v>
      </c>
      <c r="L67" s="7"/>
      <c r="M67" s="7"/>
    </row>
    <row r="68" spans="1:13" x14ac:dyDescent="0.3">
      <c r="A68" s="14">
        <v>52</v>
      </c>
      <c r="B68" s="14"/>
      <c r="C68" s="14"/>
      <c r="D68" s="14"/>
      <c r="E68" s="15"/>
      <c r="F68" s="14"/>
      <c r="G68" s="14"/>
      <c r="H68" s="14"/>
      <c r="I68" s="14"/>
      <c r="J68" s="16"/>
      <c r="K68" s="14">
        <f>Table1[[#This Row],[Complexity]]*$A$11+SUM(Table1[[#This Row],[Other 
Integration]:[OEM 
Integration]])*$C$11</f>
        <v>0</v>
      </c>
      <c r="L68" s="7"/>
      <c r="M68" s="7"/>
    </row>
    <row r="69" spans="1:13" x14ac:dyDescent="0.3">
      <c r="A69" s="14">
        <v>53</v>
      </c>
      <c r="B69" s="14"/>
      <c r="C69" s="14"/>
      <c r="D69" s="14"/>
      <c r="E69" s="15"/>
      <c r="F69" s="14"/>
      <c r="G69" s="14"/>
      <c r="H69" s="14"/>
      <c r="I69" s="14"/>
      <c r="J69" s="16"/>
      <c r="K69" s="14">
        <f>Table1[[#This Row],[Complexity]]*$A$11+SUM(Table1[[#This Row],[Other 
Integration]:[OEM 
Integration]])*$C$11</f>
        <v>0</v>
      </c>
      <c r="L69" s="7"/>
      <c r="M69" s="7"/>
    </row>
    <row r="70" spans="1:13" x14ac:dyDescent="0.3">
      <c r="A70" s="14">
        <v>54</v>
      </c>
      <c r="B70" s="14"/>
      <c r="C70" s="14"/>
      <c r="D70" s="14"/>
      <c r="E70" s="15"/>
      <c r="F70" s="14"/>
      <c r="G70" s="14"/>
      <c r="H70" s="14"/>
      <c r="I70" s="14"/>
      <c r="J70" s="16"/>
      <c r="K70" s="14">
        <f>Table1[[#This Row],[Complexity]]*$A$11+SUM(Table1[[#This Row],[Other 
Integration]:[OEM 
Integration]])*$C$11</f>
        <v>0</v>
      </c>
      <c r="L70" s="7"/>
      <c r="M70" s="7"/>
    </row>
    <row r="71" spans="1:13" x14ac:dyDescent="0.3">
      <c r="A71" s="14">
        <v>55</v>
      </c>
      <c r="B71" s="14"/>
      <c r="C71" s="14"/>
      <c r="D71" s="14"/>
      <c r="E71" s="15"/>
      <c r="F71" s="14"/>
      <c r="G71" s="14"/>
      <c r="H71" s="14"/>
      <c r="I71" s="14"/>
      <c r="J71" s="16"/>
      <c r="K71" s="14">
        <f>Table1[[#This Row],[Complexity]]*$A$11+SUM(Table1[[#This Row],[Other 
Integration]:[OEM 
Integration]])*$C$11</f>
        <v>0</v>
      </c>
      <c r="L71" s="7"/>
      <c r="M71" s="7"/>
    </row>
    <row r="72" spans="1:13" x14ac:dyDescent="0.3">
      <c r="A72" s="14">
        <v>56</v>
      </c>
      <c r="B72" s="14"/>
      <c r="C72" s="14"/>
      <c r="D72" s="14"/>
      <c r="E72" s="15"/>
      <c r="F72" s="14"/>
      <c r="G72" s="14"/>
      <c r="H72" s="14"/>
      <c r="I72" s="14"/>
      <c r="J72" s="16"/>
      <c r="K72" s="14">
        <f>Table1[[#This Row],[Complexity]]*$A$11+SUM(Table1[[#This Row],[Other 
Integration]:[OEM 
Integration]])*$C$11</f>
        <v>0</v>
      </c>
      <c r="L72" s="7"/>
      <c r="M72" s="7"/>
    </row>
    <row r="73" spans="1:13" x14ac:dyDescent="0.3">
      <c r="A73" s="14">
        <v>57</v>
      </c>
      <c r="B73" s="14"/>
      <c r="C73" s="14"/>
      <c r="D73" s="14"/>
      <c r="E73" s="15"/>
      <c r="F73" s="14"/>
      <c r="G73" s="14"/>
      <c r="H73" s="14"/>
      <c r="I73" s="14"/>
      <c r="J73" s="16"/>
      <c r="K73" s="14">
        <f>Table1[[#This Row],[Complexity]]*$A$11+SUM(Table1[[#This Row],[Other 
Integration]:[OEM 
Integration]])*$C$11</f>
        <v>0</v>
      </c>
      <c r="L73" s="7"/>
      <c r="M73" s="7"/>
    </row>
    <row r="74" spans="1:13" x14ac:dyDescent="0.3">
      <c r="A74" s="14">
        <v>58</v>
      </c>
      <c r="B74" s="14"/>
      <c r="C74" s="14"/>
      <c r="D74" s="14"/>
      <c r="E74" s="15"/>
      <c r="F74" s="14"/>
      <c r="G74" s="14"/>
      <c r="H74" s="14"/>
      <c r="I74" s="14"/>
      <c r="J74" s="16"/>
      <c r="K74" s="14">
        <f>Table1[[#This Row],[Complexity]]*$A$11+SUM(Table1[[#This Row],[Other 
Integration]:[OEM 
Integration]])*$C$11</f>
        <v>0</v>
      </c>
      <c r="L74" s="7"/>
      <c r="M74" s="7"/>
    </row>
    <row r="75" spans="1:13" x14ac:dyDescent="0.3">
      <c r="A75" s="14">
        <v>59</v>
      </c>
      <c r="B75" s="14"/>
      <c r="C75" s="14"/>
      <c r="D75" s="14"/>
      <c r="E75" s="15"/>
      <c r="F75" s="14"/>
      <c r="G75" s="14"/>
      <c r="H75" s="14"/>
      <c r="I75" s="14"/>
      <c r="J75" s="16"/>
      <c r="K75" s="14">
        <f>Table1[[#This Row],[Complexity]]*$A$11+SUM(Table1[[#This Row],[Other 
Integration]:[OEM 
Integration]])*$C$11</f>
        <v>0</v>
      </c>
      <c r="L75" s="7"/>
      <c r="M75" s="7"/>
    </row>
    <row r="76" spans="1:13" x14ac:dyDescent="0.3">
      <c r="A76" s="14">
        <v>60</v>
      </c>
      <c r="B76" s="14"/>
      <c r="C76" s="14"/>
      <c r="D76" s="14"/>
      <c r="E76" s="15"/>
      <c r="F76" s="14"/>
      <c r="G76" s="14"/>
      <c r="H76" s="14"/>
      <c r="I76" s="14"/>
      <c r="J76" s="16"/>
      <c r="K76" s="14">
        <f>Table1[[#This Row],[Complexity]]*$A$11+SUM(Table1[[#This Row],[Other 
Integration]:[OEM 
Integration]])*$C$11</f>
        <v>0</v>
      </c>
      <c r="L76" s="7"/>
      <c r="M76" s="7"/>
    </row>
    <row r="77" spans="1:13" x14ac:dyDescent="0.3">
      <c r="A77" s="14">
        <v>61</v>
      </c>
      <c r="B77" s="14"/>
      <c r="C77" s="14"/>
      <c r="D77" s="14"/>
      <c r="E77" s="15"/>
      <c r="F77" s="14"/>
      <c r="G77" s="14"/>
      <c r="H77" s="14"/>
      <c r="I77" s="14"/>
      <c r="J77" s="16"/>
      <c r="K77" s="14">
        <f>Table1[[#This Row],[Complexity]]*$A$11+SUM(Table1[[#This Row],[Other 
Integration]:[OEM 
Integration]])*$C$11</f>
        <v>0</v>
      </c>
      <c r="L77" s="7"/>
      <c r="M77" s="7"/>
    </row>
    <row r="78" spans="1:13" x14ac:dyDescent="0.3">
      <c r="A78" s="14">
        <v>62</v>
      </c>
      <c r="B78" s="14"/>
      <c r="C78" s="14"/>
      <c r="D78" s="14"/>
      <c r="E78" s="15"/>
      <c r="F78" s="14"/>
      <c r="G78" s="14"/>
      <c r="H78" s="14"/>
      <c r="I78" s="14"/>
      <c r="J78" s="16"/>
      <c r="K78" s="14">
        <f>Table1[[#This Row],[Complexity]]*$A$11+SUM(Table1[[#This Row],[Other 
Integration]:[OEM 
Integration]])*$C$11</f>
        <v>0</v>
      </c>
      <c r="L78" s="7"/>
      <c r="M78" s="7"/>
    </row>
    <row r="79" spans="1:13" x14ac:dyDescent="0.3">
      <c r="A79" s="14">
        <v>63</v>
      </c>
      <c r="B79" s="14"/>
      <c r="C79" s="14"/>
      <c r="D79" s="14"/>
      <c r="E79" s="15"/>
      <c r="F79" s="14"/>
      <c r="G79" s="14"/>
      <c r="H79" s="14"/>
      <c r="I79" s="14"/>
      <c r="J79" s="16"/>
      <c r="K79" s="14">
        <f>Table1[[#This Row],[Complexity]]*$A$11+SUM(Table1[[#This Row],[Other 
Integration]:[OEM 
Integration]])*$C$11</f>
        <v>0</v>
      </c>
      <c r="L79" s="7"/>
      <c r="M79" s="7"/>
    </row>
    <row r="80" spans="1:13" x14ac:dyDescent="0.3">
      <c r="A80" s="14">
        <v>64</v>
      </c>
      <c r="B80" s="14"/>
      <c r="C80" s="14"/>
      <c r="D80" s="14"/>
      <c r="E80" s="15"/>
      <c r="F80" s="14"/>
      <c r="G80" s="14"/>
      <c r="H80" s="14"/>
      <c r="I80" s="14"/>
      <c r="J80" s="16"/>
      <c r="K80" s="14">
        <f>Table1[[#This Row],[Complexity]]*$A$11+SUM(Table1[[#This Row],[Other 
Integration]:[OEM 
Integration]])*$C$11</f>
        <v>0</v>
      </c>
      <c r="L80" s="7"/>
      <c r="M80" s="7"/>
    </row>
    <row r="81" spans="1:13" x14ac:dyDescent="0.3">
      <c r="A81" s="14">
        <v>65</v>
      </c>
      <c r="B81" s="14"/>
      <c r="C81" s="14"/>
      <c r="D81" s="14"/>
      <c r="E81" s="15"/>
      <c r="F81" s="14"/>
      <c r="G81" s="14"/>
      <c r="H81" s="14"/>
      <c r="I81" s="14"/>
      <c r="J81" s="16"/>
      <c r="K81" s="14">
        <f>Table1[[#This Row],[Complexity]]*$A$11+SUM(Table1[[#This Row],[Other 
Integration]:[OEM 
Integration]])*$C$11</f>
        <v>0</v>
      </c>
      <c r="L81" s="7"/>
      <c r="M81" s="7"/>
    </row>
    <row r="82" spans="1:13" x14ac:dyDescent="0.3">
      <c r="A82" s="14">
        <v>66</v>
      </c>
      <c r="B82" s="14"/>
      <c r="C82" s="14"/>
      <c r="D82" s="14"/>
      <c r="E82" s="15"/>
      <c r="F82" s="14"/>
      <c r="G82" s="14"/>
      <c r="H82" s="14"/>
      <c r="I82" s="14"/>
      <c r="J82" s="16"/>
      <c r="K82" s="14">
        <f>Table1[[#This Row],[Complexity]]*$A$11+SUM(Table1[[#This Row],[Other 
Integration]:[OEM 
Integration]])*$C$11</f>
        <v>0</v>
      </c>
      <c r="L82" s="7"/>
      <c r="M82" s="7"/>
    </row>
    <row r="83" spans="1:13" x14ac:dyDescent="0.3">
      <c r="A83" s="14">
        <v>67</v>
      </c>
      <c r="B83" s="14"/>
      <c r="C83" s="14"/>
      <c r="D83" s="14"/>
      <c r="E83" s="15"/>
      <c r="F83" s="14"/>
      <c r="G83" s="14"/>
      <c r="H83" s="14"/>
      <c r="I83" s="14"/>
      <c r="J83" s="16"/>
      <c r="K83" s="14">
        <f>Table1[[#This Row],[Complexity]]*$A$11+SUM(Table1[[#This Row],[Other 
Integration]:[OEM 
Integration]])*$C$11</f>
        <v>0</v>
      </c>
      <c r="L83" s="7"/>
      <c r="M83" s="7"/>
    </row>
    <row r="84" spans="1:13" x14ac:dyDescent="0.3">
      <c r="A84" s="14">
        <v>68</v>
      </c>
      <c r="B84" s="14"/>
      <c r="C84" s="14"/>
      <c r="D84" s="14"/>
      <c r="E84" s="15"/>
      <c r="F84" s="14"/>
      <c r="G84" s="14"/>
      <c r="H84" s="14"/>
      <c r="I84" s="14"/>
      <c r="J84" s="16"/>
      <c r="K84" s="14">
        <f>Table1[[#This Row],[Complexity]]*$A$11+SUM(Table1[[#This Row],[Other 
Integration]:[OEM 
Integration]])*$C$11</f>
        <v>0</v>
      </c>
      <c r="L84" s="7"/>
      <c r="M84" s="7"/>
    </row>
    <row r="85" spans="1:13" x14ac:dyDescent="0.3">
      <c r="A85" s="14">
        <v>69</v>
      </c>
      <c r="B85" s="14"/>
      <c r="C85" s="14"/>
      <c r="D85" s="14"/>
      <c r="E85" s="15"/>
      <c r="F85" s="14"/>
      <c r="G85" s="14"/>
      <c r="H85" s="14"/>
      <c r="I85" s="14"/>
      <c r="J85" s="16"/>
      <c r="K85" s="14">
        <f>Table1[[#This Row],[Complexity]]*$A$11+SUM(Table1[[#This Row],[Other 
Integration]:[OEM 
Integration]])*$C$11</f>
        <v>0</v>
      </c>
      <c r="L85" s="7"/>
      <c r="M85" s="7"/>
    </row>
    <row r="86" spans="1:13" x14ac:dyDescent="0.3">
      <c r="A86" s="14">
        <v>70</v>
      </c>
      <c r="B86" s="14"/>
      <c r="C86" s="14"/>
      <c r="D86" s="14"/>
      <c r="E86" s="15"/>
      <c r="F86" s="14"/>
      <c r="G86" s="14"/>
      <c r="H86" s="14"/>
      <c r="I86" s="14"/>
      <c r="J86" s="16"/>
      <c r="K86" s="14">
        <f>Table1[[#This Row],[Complexity]]*$A$11+SUM(Table1[[#This Row],[Other 
Integration]:[OEM 
Integration]])*$C$11</f>
        <v>0</v>
      </c>
      <c r="L86" s="7"/>
      <c r="M86" s="7"/>
    </row>
    <row r="87" spans="1:13" x14ac:dyDescent="0.3">
      <c r="A87" s="14">
        <v>71</v>
      </c>
      <c r="B87" s="14"/>
      <c r="C87" s="14"/>
      <c r="D87" s="14"/>
      <c r="E87" s="15"/>
      <c r="F87" s="14"/>
      <c r="G87" s="14"/>
      <c r="H87" s="14"/>
      <c r="I87" s="14"/>
      <c r="J87" s="16"/>
      <c r="K87" s="14">
        <f>Table1[[#This Row],[Complexity]]*$A$11+SUM(Table1[[#This Row],[Other 
Integration]:[OEM 
Integration]])*$C$11</f>
        <v>0</v>
      </c>
      <c r="L87" s="7"/>
      <c r="M87" s="7"/>
    </row>
    <row r="88" spans="1:13" x14ac:dyDescent="0.3">
      <c r="A88" s="14">
        <v>72</v>
      </c>
      <c r="B88" s="14"/>
      <c r="C88" s="14"/>
      <c r="D88" s="14"/>
      <c r="E88" s="15"/>
      <c r="F88" s="14"/>
      <c r="G88" s="14"/>
      <c r="H88" s="14"/>
      <c r="I88" s="14"/>
      <c r="J88" s="16"/>
      <c r="K88" s="14">
        <f>Table1[[#This Row],[Complexity]]*$A$11+SUM(Table1[[#This Row],[Other 
Integration]:[OEM 
Integration]])*$C$11</f>
        <v>0</v>
      </c>
      <c r="L88" s="7"/>
      <c r="M88" s="7"/>
    </row>
    <row r="89" spans="1:13" x14ac:dyDescent="0.3">
      <c r="A89" s="14">
        <v>73</v>
      </c>
      <c r="B89" s="14"/>
      <c r="C89" s="14"/>
      <c r="D89" s="14"/>
      <c r="E89" s="15"/>
      <c r="F89" s="14"/>
      <c r="G89" s="14"/>
      <c r="H89" s="14"/>
      <c r="I89" s="14"/>
      <c r="J89" s="16"/>
      <c r="K89" s="14">
        <f>Table1[[#This Row],[Complexity]]*$A$11+SUM(Table1[[#This Row],[Other 
Integration]:[OEM 
Integration]])*$C$11</f>
        <v>0</v>
      </c>
      <c r="L89" s="7"/>
      <c r="M89" s="7"/>
    </row>
    <row r="90" spans="1:13" x14ac:dyDescent="0.3">
      <c r="A90" s="14">
        <v>74</v>
      </c>
      <c r="B90" s="14"/>
      <c r="C90" s="14"/>
      <c r="D90" s="14"/>
      <c r="E90" s="15"/>
      <c r="F90" s="14"/>
      <c r="G90" s="14"/>
      <c r="H90" s="14"/>
      <c r="I90" s="14"/>
      <c r="J90" s="16"/>
      <c r="K90" s="14">
        <f>Table1[[#This Row],[Complexity]]*$A$11+SUM(Table1[[#This Row],[Other 
Integration]:[OEM 
Integration]])*$C$11</f>
        <v>0</v>
      </c>
      <c r="L90" s="7"/>
      <c r="M90" s="7"/>
    </row>
    <row r="91" spans="1:13" x14ac:dyDescent="0.3">
      <c r="A91" s="14">
        <v>75</v>
      </c>
      <c r="B91" s="14"/>
      <c r="C91" s="14"/>
      <c r="D91" s="14"/>
      <c r="E91" s="15"/>
      <c r="F91" s="14"/>
      <c r="G91" s="14"/>
      <c r="H91" s="14"/>
      <c r="I91" s="14"/>
      <c r="J91" s="16"/>
      <c r="K91" s="14">
        <f>Table1[[#This Row],[Complexity]]*$A$11+SUM(Table1[[#This Row],[Other 
Integration]:[OEM 
Integration]])*$C$11</f>
        <v>0</v>
      </c>
      <c r="L91" s="7"/>
      <c r="M91" s="7"/>
    </row>
    <row r="92" spans="1:13" x14ac:dyDescent="0.3">
      <c r="A92" s="14">
        <v>76</v>
      </c>
      <c r="B92" s="14"/>
      <c r="C92" s="14"/>
      <c r="D92" s="14"/>
      <c r="E92" s="15"/>
      <c r="F92" s="14"/>
      <c r="G92" s="14"/>
      <c r="H92" s="14"/>
      <c r="I92" s="14"/>
      <c r="J92" s="16"/>
      <c r="K92" s="14">
        <f>Table1[[#This Row],[Complexity]]*$A$11+SUM(Table1[[#This Row],[Other 
Integration]:[OEM 
Integration]])*$C$11</f>
        <v>0</v>
      </c>
      <c r="L92" s="7"/>
      <c r="M92" s="7"/>
    </row>
    <row r="93" spans="1:13" x14ac:dyDescent="0.3">
      <c r="A93" s="14">
        <v>77</v>
      </c>
      <c r="B93" s="14"/>
      <c r="C93" s="14"/>
      <c r="D93" s="14"/>
      <c r="E93" s="15"/>
      <c r="F93" s="14"/>
      <c r="G93" s="14"/>
      <c r="H93" s="14"/>
      <c r="I93" s="14"/>
      <c r="J93" s="16"/>
      <c r="K93" s="14">
        <f>Table1[[#This Row],[Complexity]]*$A$11+SUM(Table1[[#This Row],[Other 
Integration]:[OEM 
Integration]])*$C$11</f>
        <v>0</v>
      </c>
      <c r="L93" s="7"/>
      <c r="M93" s="7"/>
    </row>
    <row r="94" spans="1:13" x14ac:dyDescent="0.3">
      <c r="A94" s="14">
        <v>78</v>
      </c>
      <c r="B94" s="14"/>
      <c r="C94" s="14"/>
      <c r="D94" s="14"/>
      <c r="E94" s="15"/>
      <c r="F94" s="14"/>
      <c r="G94" s="14"/>
      <c r="H94" s="14"/>
      <c r="I94" s="14"/>
      <c r="J94" s="16"/>
      <c r="K94" s="14">
        <f>Table1[[#This Row],[Complexity]]*$A$11+SUM(Table1[[#This Row],[Other 
Integration]:[OEM 
Integration]])*$C$11</f>
        <v>0</v>
      </c>
      <c r="L94" s="7"/>
      <c r="M94" s="7"/>
    </row>
    <row r="95" spans="1:13" x14ac:dyDescent="0.3">
      <c r="A95" s="14">
        <v>79</v>
      </c>
      <c r="B95" s="14"/>
      <c r="C95" s="14"/>
      <c r="D95" s="14"/>
      <c r="E95" s="15"/>
      <c r="F95" s="14"/>
      <c r="G95" s="14"/>
      <c r="H95" s="14"/>
      <c r="I95" s="14"/>
      <c r="J95" s="16"/>
      <c r="K95" s="14">
        <f>Table1[[#This Row],[Complexity]]*$A$11+SUM(Table1[[#This Row],[Other 
Integration]:[OEM 
Integration]])*$C$11</f>
        <v>0</v>
      </c>
      <c r="L95" s="7"/>
      <c r="M95" s="7"/>
    </row>
    <row r="96" spans="1:13" x14ac:dyDescent="0.3">
      <c r="A96" s="14">
        <v>80</v>
      </c>
      <c r="B96" s="14"/>
      <c r="C96" s="14"/>
      <c r="D96" s="14"/>
      <c r="E96" s="15"/>
      <c r="F96" s="14"/>
      <c r="G96" s="14"/>
      <c r="H96" s="14"/>
      <c r="I96" s="14"/>
      <c r="J96" s="16"/>
      <c r="K96" s="14">
        <f>Table1[[#This Row],[Complexity]]*$A$11+SUM(Table1[[#This Row],[Other 
Integration]:[OEM 
Integration]])*$C$11</f>
        <v>0</v>
      </c>
      <c r="L96" s="7"/>
      <c r="M96" s="7"/>
    </row>
    <row r="97" spans="1:13" x14ac:dyDescent="0.3">
      <c r="A97" s="14">
        <v>81</v>
      </c>
      <c r="B97" s="14"/>
      <c r="C97" s="14"/>
      <c r="D97" s="14"/>
      <c r="E97" s="15"/>
      <c r="F97" s="14"/>
      <c r="G97" s="14"/>
      <c r="H97" s="14"/>
      <c r="I97" s="14"/>
      <c r="J97" s="16"/>
      <c r="K97" s="14">
        <f>Table1[[#This Row],[Complexity]]*$A$11+SUM(Table1[[#This Row],[Other 
Integration]:[OEM 
Integration]])*$C$11</f>
        <v>0</v>
      </c>
      <c r="L97" s="7"/>
      <c r="M97" s="7"/>
    </row>
    <row r="98" spans="1:13" x14ac:dyDescent="0.3">
      <c r="A98" s="14">
        <v>82</v>
      </c>
      <c r="B98" s="14"/>
      <c r="C98" s="14"/>
      <c r="D98" s="14"/>
      <c r="E98" s="15"/>
      <c r="F98" s="14"/>
      <c r="G98" s="14"/>
      <c r="H98" s="14"/>
      <c r="I98" s="14"/>
      <c r="J98" s="16"/>
      <c r="K98" s="14">
        <f>Table1[[#This Row],[Complexity]]*$A$11+SUM(Table1[[#This Row],[Other 
Integration]:[OEM 
Integration]])*$C$11</f>
        <v>0</v>
      </c>
      <c r="L98" s="7"/>
      <c r="M98" s="7"/>
    </row>
    <row r="99" spans="1:13" x14ac:dyDescent="0.3">
      <c r="A99" s="14">
        <v>83</v>
      </c>
      <c r="B99" s="14"/>
      <c r="C99" s="14"/>
      <c r="D99" s="14"/>
      <c r="E99" s="15"/>
      <c r="F99" s="14"/>
      <c r="G99" s="14"/>
      <c r="H99" s="14"/>
      <c r="I99" s="14"/>
      <c r="J99" s="16"/>
      <c r="K99" s="14">
        <f>Table1[[#This Row],[Complexity]]*$A$11+SUM(Table1[[#This Row],[Other 
Integration]:[OEM 
Integration]])*$C$11</f>
        <v>0</v>
      </c>
      <c r="L99" s="7"/>
      <c r="M99" s="7"/>
    </row>
    <row r="100" spans="1:13" x14ac:dyDescent="0.3">
      <c r="A100" s="14">
        <v>84</v>
      </c>
      <c r="B100" s="14"/>
      <c r="C100" s="14"/>
      <c r="D100" s="14"/>
      <c r="E100" s="15"/>
      <c r="F100" s="14"/>
      <c r="G100" s="14"/>
      <c r="H100" s="14"/>
      <c r="I100" s="14"/>
      <c r="J100" s="16"/>
      <c r="K100" s="14">
        <f>Table1[[#This Row],[Complexity]]*$A$11+SUM(Table1[[#This Row],[Other 
Integration]:[OEM 
Integration]])*$C$11</f>
        <v>0</v>
      </c>
      <c r="L100" s="7"/>
      <c r="M100" s="7"/>
    </row>
    <row r="101" spans="1:13" x14ac:dyDescent="0.3">
      <c r="A101" s="14">
        <v>85</v>
      </c>
      <c r="B101" s="14"/>
      <c r="C101" s="14"/>
      <c r="D101" s="14"/>
      <c r="E101" s="15"/>
      <c r="F101" s="14"/>
      <c r="G101" s="14"/>
      <c r="H101" s="14"/>
      <c r="I101" s="14"/>
      <c r="J101" s="16"/>
      <c r="K101" s="14">
        <f>Table1[[#This Row],[Complexity]]*$A$11+SUM(Table1[[#This Row],[Other 
Integration]:[OEM 
Integration]])*$C$11</f>
        <v>0</v>
      </c>
      <c r="L101" s="7"/>
      <c r="M101" s="7"/>
    </row>
    <row r="102" spans="1:13" x14ac:dyDescent="0.3">
      <c r="A102" s="14">
        <v>86</v>
      </c>
      <c r="B102" s="14"/>
      <c r="C102" s="14"/>
      <c r="D102" s="14"/>
      <c r="E102" s="15"/>
      <c r="F102" s="14"/>
      <c r="G102" s="14"/>
      <c r="H102" s="14"/>
      <c r="I102" s="14"/>
      <c r="J102" s="16"/>
      <c r="K102" s="14">
        <f>Table1[[#This Row],[Complexity]]*$A$11+SUM(Table1[[#This Row],[Other 
Integration]:[OEM 
Integration]])*$C$11</f>
        <v>0</v>
      </c>
      <c r="L102" s="7"/>
      <c r="M102" s="7"/>
    </row>
    <row r="103" spans="1:13" x14ac:dyDescent="0.3">
      <c r="A103" s="14">
        <v>87</v>
      </c>
      <c r="B103" s="14"/>
      <c r="C103" s="14"/>
      <c r="D103" s="14"/>
      <c r="E103" s="15"/>
      <c r="F103" s="14"/>
      <c r="G103" s="14"/>
      <c r="H103" s="14"/>
      <c r="I103" s="14"/>
      <c r="J103" s="16"/>
      <c r="K103" s="14">
        <f>Table1[[#This Row],[Complexity]]*$A$11+SUM(Table1[[#This Row],[Other 
Integration]:[OEM 
Integration]])*$C$11</f>
        <v>0</v>
      </c>
      <c r="L103" s="7"/>
      <c r="M103" s="7"/>
    </row>
    <row r="104" spans="1:13" x14ac:dyDescent="0.3">
      <c r="A104" s="14">
        <v>88</v>
      </c>
      <c r="B104" s="14"/>
      <c r="C104" s="14"/>
      <c r="D104" s="14"/>
      <c r="E104" s="15"/>
      <c r="F104" s="14"/>
      <c r="G104" s="14"/>
      <c r="H104" s="14"/>
      <c r="I104" s="14"/>
      <c r="J104" s="16"/>
      <c r="K104" s="14">
        <f>Table1[[#This Row],[Complexity]]*$A$11+SUM(Table1[[#This Row],[Other 
Integration]:[OEM 
Integration]])*$C$11</f>
        <v>0</v>
      </c>
      <c r="L104" s="7"/>
      <c r="M104" s="7"/>
    </row>
    <row r="105" spans="1:13" x14ac:dyDescent="0.3">
      <c r="A105" s="14">
        <v>89</v>
      </c>
      <c r="B105" s="14"/>
      <c r="C105" s="14"/>
      <c r="D105" s="14"/>
      <c r="E105" s="15"/>
      <c r="F105" s="14"/>
      <c r="G105" s="14"/>
      <c r="H105" s="14"/>
      <c r="I105" s="14"/>
      <c r="J105" s="16"/>
      <c r="K105" s="14">
        <f>Table1[[#This Row],[Complexity]]*$A$11+SUM(Table1[[#This Row],[Other 
Integration]:[OEM 
Integration]])*$C$11</f>
        <v>0</v>
      </c>
      <c r="L105" s="7"/>
      <c r="M105" s="7"/>
    </row>
    <row r="106" spans="1:13" x14ac:dyDescent="0.3">
      <c r="A106" s="14">
        <v>90</v>
      </c>
      <c r="B106" s="14"/>
      <c r="C106" s="14"/>
      <c r="D106" s="14"/>
      <c r="E106" s="15"/>
      <c r="F106" s="14"/>
      <c r="G106" s="14"/>
      <c r="H106" s="14"/>
      <c r="I106" s="14"/>
      <c r="J106" s="16"/>
      <c r="K106" s="14">
        <f>Table1[[#This Row],[Complexity]]*$A$11+SUM(Table1[[#This Row],[Other 
Integration]:[OEM 
Integration]])*$C$11</f>
        <v>0</v>
      </c>
      <c r="L106" s="7"/>
      <c r="M106" s="7"/>
    </row>
    <row r="107" spans="1:13" x14ac:dyDescent="0.3">
      <c r="A107" s="14">
        <v>91</v>
      </c>
      <c r="B107" s="14"/>
      <c r="C107" s="14"/>
      <c r="D107" s="14"/>
      <c r="E107" s="15"/>
      <c r="F107" s="14"/>
      <c r="G107" s="14"/>
      <c r="H107" s="14"/>
      <c r="I107" s="14"/>
      <c r="J107" s="16"/>
      <c r="K107" s="14">
        <f>Table1[[#This Row],[Complexity]]*$A$11+SUM(Table1[[#This Row],[Other 
Integration]:[OEM 
Integration]])*$C$11</f>
        <v>0</v>
      </c>
      <c r="L107" s="7"/>
      <c r="M107" s="7"/>
    </row>
    <row r="108" spans="1:13" x14ac:dyDescent="0.3">
      <c r="A108" s="14">
        <v>92</v>
      </c>
      <c r="B108" s="14"/>
      <c r="C108" s="14"/>
      <c r="D108" s="14"/>
      <c r="E108" s="15"/>
      <c r="F108" s="14"/>
      <c r="G108" s="14"/>
      <c r="H108" s="14"/>
      <c r="I108" s="14"/>
      <c r="J108" s="16"/>
      <c r="K108" s="14">
        <f>Table1[[#This Row],[Complexity]]*$A$11+SUM(Table1[[#This Row],[Other 
Integration]:[OEM 
Integration]])*$C$11</f>
        <v>0</v>
      </c>
      <c r="L108" s="7"/>
      <c r="M108" s="7"/>
    </row>
    <row r="109" spans="1:13" x14ac:dyDescent="0.3">
      <c r="A109" s="14">
        <v>93</v>
      </c>
      <c r="B109" s="14"/>
      <c r="C109" s="14"/>
      <c r="D109" s="14"/>
      <c r="E109" s="15"/>
      <c r="F109" s="14"/>
      <c r="G109" s="14"/>
      <c r="H109" s="14"/>
      <c r="I109" s="14"/>
      <c r="J109" s="16"/>
      <c r="K109" s="14">
        <f>Table1[[#This Row],[Complexity]]*$A$11+SUM(Table1[[#This Row],[Other 
Integration]:[OEM 
Integration]])*$C$11</f>
        <v>0</v>
      </c>
      <c r="L109" s="7"/>
      <c r="M109" s="7"/>
    </row>
    <row r="110" spans="1:13" x14ac:dyDescent="0.3">
      <c r="A110" s="14">
        <v>94</v>
      </c>
      <c r="B110" s="14"/>
      <c r="C110" s="14"/>
      <c r="D110" s="14"/>
      <c r="E110" s="15"/>
      <c r="F110" s="14"/>
      <c r="G110" s="14"/>
      <c r="H110" s="14"/>
      <c r="I110" s="14"/>
      <c r="J110" s="16"/>
      <c r="K110" s="14">
        <f>Table1[[#This Row],[Complexity]]*$A$11+SUM(Table1[[#This Row],[Other 
Integration]:[OEM 
Integration]])*$C$11</f>
        <v>0</v>
      </c>
      <c r="L110" s="7"/>
      <c r="M110" s="7"/>
    </row>
    <row r="111" spans="1:13" x14ac:dyDescent="0.3">
      <c r="A111" s="14">
        <v>95</v>
      </c>
      <c r="B111" s="14"/>
      <c r="C111" s="14"/>
      <c r="D111" s="14"/>
      <c r="E111" s="15"/>
      <c r="F111" s="14"/>
      <c r="G111" s="14"/>
      <c r="H111" s="14"/>
      <c r="I111" s="14"/>
      <c r="J111" s="16"/>
      <c r="K111" s="14">
        <f>Table1[[#This Row],[Complexity]]*$A$11+SUM(Table1[[#This Row],[Other 
Integration]:[OEM 
Integration]])*$C$11</f>
        <v>0</v>
      </c>
      <c r="L111" s="7"/>
      <c r="M111" s="7"/>
    </row>
    <row r="112" spans="1:13" x14ac:dyDescent="0.3">
      <c r="A112" s="14">
        <v>96</v>
      </c>
      <c r="B112" s="14"/>
      <c r="C112" s="14"/>
      <c r="D112" s="14"/>
      <c r="E112" s="15"/>
      <c r="F112" s="14"/>
      <c r="G112" s="14"/>
      <c r="H112" s="14"/>
      <c r="I112" s="14"/>
      <c r="J112" s="16"/>
      <c r="K112" s="14">
        <f>Table1[[#This Row],[Complexity]]*$A$11+SUM(Table1[[#This Row],[Other 
Integration]:[OEM 
Integration]])*$C$11</f>
        <v>0</v>
      </c>
      <c r="L112" s="7"/>
      <c r="M112" s="7"/>
    </row>
    <row r="113" spans="1:13" x14ac:dyDescent="0.3">
      <c r="A113" s="14">
        <v>97</v>
      </c>
      <c r="B113" s="14"/>
      <c r="C113" s="14"/>
      <c r="D113" s="14"/>
      <c r="E113" s="15"/>
      <c r="F113" s="14"/>
      <c r="G113" s="14"/>
      <c r="H113" s="14"/>
      <c r="I113" s="14"/>
      <c r="J113" s="16"/>
      <c r="K113" s="14">
        <f>Table1[[#This Row],[Complexity]]*$A$11+SUM(Table1[[#This Row],[Other 
Integration]:[OEM 
Integration]])*$C$11</f>
        <v>0</v>
      </c>
      <c r="L113" s="7"/>
      <c r="M113" s="7"/>
    </row>
    <row r="114" spans="1:13" x14ac:dyDescent="0.3">
      <c r="A114" s="14">
        <v>98</v>
      </c>
      <c r="B114" s="14"/>
      <c r="C114" s="14"/>
      <c r="D114" s="14"/>
      <c r="E114" s="15"/>
      <c r="F114" s="14"/>
      <c r="G114" s="14"/>
      <c r="H114" s="14"/>
      <c r="I114" s="14"/>
      <c r="J114" s="16"/>
      <c r="K114" s="14">
        <f>Table1[[#This Row],[Complexity]]*$A$11+SUM(Table1[[#This Row],[Other 
Integration]:[OEM 
Integration]])*$C$11</f>
        <v>0</v>
      </c>
      <c r="L114" s="7"/>
      <c r="M114" s="7"/>
    </row>
    <row r="115" spans="1:13" x14ac:dyDescent="0.3">
      <c r="A115" s="14">
        <v>99</v>
      </c>
      <c r="B115" s="14"/>
      <c r="C115" s="14"/>
      <c r="D115" s="14"/>
      <c r="E115" s="15"/>
      <c r="F115" s="14"/>
      <c r="G115" s="14"/>
      <c r="H115" s="14"/>
      <c r="I115" s="14"/>
      <c r="J115" s="16"/>
      <c r="K115" s="14">
        <f>Table1[[#This Row],[Complexity]]*$A$11+SUM(Table1[[#This Row],[Other 
Integration]:[OEM 
Integration]])*$C$11</f>
        <v>0</v>
      </c>
      <c r="L115" s="7"/>
      <c r="M115" s="7"/>
    </row>
    <row r="116" spans="1:13" x14ac:dyDescent="0.3">
      <c r="A116" s="14">
        <v>100</v>
      </c>
      <c r="B116" s="14"/>
      <c r="C116" s="14"/>
      <c r="D116" s="14"/>
      <c r="E116" s="15"/>
      <c r="F116" s="14"/>
      <c r="G116" s="14"/>
      <c r="H116" s="14"/>
      <c r="I116" s="14"/>
      <c r="J116" s="16"/>
      <c r="K116" s="14">
        <f>Table1[[#This Row],[Complexity]]*$A$11+SUM(Table1[[#This Row],[Other 
Integration]:[OEM 
Integration]])*$C$11</f>
        <v>0</v>
      </c>
      <c r="L116" s="7"/>
      <c r="M116" s="7"/>
    </row>
    <row r="117" spans="1:13" x14ac:dyDescent="0.3">
      <c r="A117" s="14">
        <v>101</v>
      </c>
      <c r="B117" s="14"/>
      <c r="C117" s="14"/>
      <c r="D117" s="14"/>
      <c r="E117" s="15"/>
      <c r="F117" s="14"/>
      <c r="G117" s="14"/>
      <c r="H117" s="14"/>
      <c r="I117" s="14"/>
      <c r="J117" s="16"/>
      <c r="K117" s="14">
        <f>Table1[[#This Row],[Complexity]]*$A$11+SUM(Table1[[#This Row],[Other 
Integration]:[OEM 
Integration]])*$C$11</f>
        <v>0</v>
      </c>
      <c r="L117" s="7"/>
      <c r="M117" s="7"/>
    </row>
    <row r="118" spans="1:13" x14ac:dyDescent="0.3">
      <c r="A118" s="14">
        <v>102</v>
      </c>
      <c r="B118" s="14"/>
      <c r="C118" s="14"/>
      <c r="D118" s="14"/>
      <c r="E118" s="15"/>
      <c r="F118" s="14"/>
      <c r="G118" s="14"/>
      <c r="H118" s="14"/>
      <c r="I118" s="14"/>
      <c r="J118" s="16"/>
      <c r="K118" s="14">
        <f>Table1[[#This Row],[Complexity]]*$A$11+SUM(Table1[[#This Row],[Other 
Integration]:[OEM 
Integration]])*$C$11</f>
        <v>0</v>
      </c>
      <c r="L118" s="7"/>
      <c r="M118" s="7"/>
    </row>
    <row r="119" spans="1:13" x14ac:dyDescent="0.3">
      <c r="A119" s="14">
        <v>103</v>
      </c>
      <c r="B119" s="14"/>
      <c r="C119" s="14"/>
      <c r="D119" s="14"/>
      <c r="E119" s="15"/>
      <c r="F119" s="14"/>
      <c r="G119" s="14"/>
      <c r="H119" s="14"/>
      <c r="I119" s="14"/>
      <c r="J119" s="16"/>
      <c r="K119" s="14">
        <f>Table1[[#This Row],[Complexity]]*$A$11+SUM(Table1[[#This Row],[Other 
Integration]:[OEM 
Integration]])*$C$11</f>
        <v>0</v>
      </c>
      <c r="L119" s="7"/>
      <c r="M119" s="7"/>
    </row>
    <row r="120" spans="1:13" x14ac:dyDescent="0.3">
      <c r="A120" s="14">
        <v>104</v>
      </c>
      <c r="B120" s="14"/>
      <c r="C120" s="14"/>
      <c r="D120" s="14"/>
      <c r="E120" s="15"/>
      <c r="F120" s="14"/>
      <c r="G120" s="14"/>
      <c r="H120" s="14"/>
      <c r="I120" s="14"/>
      <c r="J120" s="16"/>
      <c r="K120" s="14">
        <f>Table1[[#This Row],[Complexity]]*$A$11+SUM(Table1[[#This Row],[Other 
Integration]:[OEM 
Integration]])*$C$11</f>
        <v>0</v>
      </c>
      <c r="L120" s="7"/>
      <c r="M120" s="7"/>
    </row>
    <row r="121" spans="1:13" x14ac:dyDescent="0.3">
      <c r="A121" s="14">
        <v>105</v>
      </c>
      <c r="B121" s="14"/>
      <c r="C121" s="14"/>
      <c r="D121" s="14"/>
      <c r="E121" s="14"/>
      <c r="F121" s="14"/>
      <c r="G121" s="14"/>
      <c r="H121" s="14"/>
      <c r="I121" s="14"/>
      <c r="J121" s="16"/>
      <c r="K121" s="14">
        <f>Table1[[#This Row],[Complexity]]*$A$11+SUM(Table1[[#This Row],[Other 
Integration]:[OEM 
Integration]])*$C$11</f>
        <v>0</v>
      </c>
      <c r="L121" s="7"/>
      <c r="M121" s="7"/>
    </row>
    <row r="122" spans="1:13" x14ac:dyDescent="0.3">
      <c r="A122" s="14">
        <v>106</v>
      </c>
      <c r="B122" s="14"/>
      <c r="C122" s="14"/>
      <c r="D122" s="14"/>
      <c r="E122" s="14"/>
      <c r="F122" s="14"/>
      <c r="G122" s="14"/>
      <c r="H122" s="14"/>
      <c r="I122" s="14"/>
      <c r="J122" s="16"/>
      <c r="K122" s="14">
        <f>Table1[[#This Row],[Complexity]]*$A$11+SUM(Table1[[#This Row],[Other 
Integration]:[OEM 
Integration]])*$C$11</f>
        <v>0</v>
      </c>
      <c r="L122" s="7"/>
      <c r="M122" s="7"/>
    </row>
    <row r="123" spans="1:13" x14ac:dyDescent="0.3">
      <c r="A123" s="14">
        <v>107</v>
      </c>
      <c r="B123" s="14"/>
      <c r="C123" s="14"/>
      <c r="D123" s="14"/>
      <c r="E123" s="14"/>
      <c r="F123" s="14"/>
      <c r="G123" s="14"/>
      <c r="H123" s="14"/>
      <c r="I123" s="14"/>
      <c r="J123" s="16"/>
      <c r="K123" s="14">
        <f>Table1[[#This Row],[Complexity]]*$A$11+SUM(Table1[[#This Row],[Other 
Integration]:[OEM 
Integration]])*$C$11</f>
        <v>0</v>
      </c>
      <c r="L123" s="7"/>
      <c r="M123" s="7"/>
    </row>
    <row r="124" spans="1:13" x14ac:dyDescent="0.3">
      <c r="A124" s="14">
        <v>108</v>
      </c>
      <c r="B124" s="14"/>
      <c r="C124" s="14"/>
      <c r="D124" s="14"/>
      <c r="E124" s="14"/>
      <c r="F124" s="14"/>
      <c r="G124" s="14"/>
      <c r="H124" s="14"/>
      <c r="I124" s="14"/>
      <c r="J124" s="16"/>
      <c r="K124" s="14">
        <f>Table1[[#This Row],[Complexity]]*$A$11+SUM(Table1[[#This Row],[Other 
Integration]:[OEM 
Integration]])*$C$11</f>
        <v>0</v>
      </c>
      <c r="L124" s="7"/>
      <c r="M124" s="7"/>
    </row>
    <row r="125" spans="1:13" x14ac:dyDescent="0.3">
      <c r="A125" s="14">
        <v>109</v>
      </c>
      <c r="B125" s="14"/>
      <c r="C125" s="14"/>
      <c r="D125" s="14"/>
      <c r="E125" s="14"/>
      <c r="F125" s="14"/>
      <c r="G125" s="14"/>
      <c r="H125" s="14"/>
      <c r="I125" s="14"/>
      <c r="J125" s="16"/>
      <c r="K125" s="14">
        <f>Table1[[#This Row],[Complexity]]*$A$11+SUM(Table1[[#This Row],[Other 
Integration]:[OEM 
Integration]])*$C$11</f>
        <v>0</v>
      </c>
      <c r="L125" s="7"/>
      <c r="M125" s="7"/>
    </row>
    <row r="126" spans="1:13" x14ac:dyDescent="0.3">
      <c r="A126" s="14">
        <v>110</v>
      </c>
      <c r="B126" s="14"/>
      <c r="C126" s="14"/>
      <c r="D126" s="14"/>
      <c r="E126" s="14"/>
      <c r="F126" s="14"/>
      <c r="G126" s="14"/>
      <c r="H126" s="14"/>
      <c r="I126" s="14"/>
      <c r="J126" s="16"/>
      <c r="K126" s="14">
        <f>Table1[[#This Row],[Complexity]]*$A$11+SUM(Table1[[#This Row],[Other 
Integration]:[OEM 
Integration]])*$C$11</f>
        <v>0</v>
      </c>
      <c r="L126" s="7"/>
      <c r="M126" s="7"/>
    </row>
    <row r="127" spans="1:13" x14ac:dyDescent="0.3">
      <c r="A127" s="14">
        <v>111</v>
      </c>
      <c r="B127" s="14"/>
      <c r="C127" s="14"/>
      <c r="D127" s="14"/>
      <c r="E127" s="14"/>
      <c r="F127" s="14"/>
      <c r="G127" s="14"/>
      <c r="H127" s="14"/>
      <c r="I127" s="14"/>
      <c r="J127" s="16"/>
      <c r="K127" s="14">
        <f>Table1[[#This Row],[Complexity]]*$A$11+SUM(Table1[[#This Row],[Other 
Integration]:[OEM 
Integration]])*$C$11</f>
        <v>0</v>
      </c>
      <c r="L127" s="7"/>
      <c r="M127" s="7"/>
    </row>
    <row r="128" spans="1:13" x14ac:dyDescent="0.3">
      <c r="A128" s="14">
        <v>112</v>
      </c>
      <c r="B128" s="14"/>
      <c r="C128" s="14"/>
      <c r="D128" s="14"/>
      <c r="E128" s="14"/>
      <c r="F128" s="14"/>
      <c r="G128" s="14"/>
      <c r="H128" s="14"/>
      <c r="I128" s="14"/>
      <c r="J128" s="16"/>
      <c r="K128" s="14">
        <f>Table1[[#This Row],[Complexity]]*$A$11+SUM(Table1[[#This Row],[Other 
Integration]:[OEM 
Integration]])*$C$11</f>
        <v>0</v>
      </c>
      <c r="L128" s="7"/>
      <c r="M128" s="7"/>
    </row>
    <row r="129" spans="1:13" x14ac:dyDescent="0.3">
      <c r="A129" s="14">
        <v>113</v>
      </c>
      <c r="B129" s="14"/>
      <c r="C129" s="14"/>
      <c r="D129" s="14"/>
      <c r="E129" s="14"/>
      <c r="F129" s="14"/>
      <c r="G129" s="14"/>
      <c r="H129" s="14"/>
      <c r="I129" s="14"/>
      <c r="J129" s="16"/>
      <c r="K129" s="14">
        <f>Table1[[#This Row],[Complexity]]*$A$11+SUM(Table1[[#This Row],[Other 
Integration]:[OEM 
Integration]])*$C$11</f>
        <v>0</v>
      </c>
      <c r="L129" s="7"/>
      <c r="M129" s="7"/>
    </row>
    <row r="130" spans="1:13" x14ac:dyDescent="0.3">
      <c r="A130" s="14">
        <v>114</v>
      </c>
      <c r="B130" s="14"/>
      <c r="C130" s="14"/>
      <c r="D130" s="14"/>
      <c r="E130" s="14"/>
      <c r="F130" s="14"/>
      <c r="G130" s="14"/>
      <c r="H130" s="14"/>
      <c r="I130" s="14"/>
      <c r="J130" s="16"/>
      <c r="K130" s="14">
        <f>Table1[[#This Row],[Complexity]]*$A$11+SUM(Table1[[#This Row],[Other 
Integration]:[OEM 
Integration]])*$C$11</f>
        <v>0</v>
      </c>
      <c r="L130" s="7"/>
      <c r="M130" s="7"/>
    </row>
    <row r="131" spans="1:13" x14ac:dyDescent="0.3">
      <c r="A131" s="14">
        <v>115</v>
      </c>
      <c r="B131" s="14"/>
      <c r="C131" s="14"/>
      <c r="D131" s="14"/>
      <c r="E131" s="14"/>
      <c r="F131" s="14"/>
      <c r="G131" s="14"/>
      <c r="H131" s="14"/>
      <c r="I131" s="14"/>
      <c r="J131" s="16"/>
      <c r="K131" s="14">
        <f>Table1[[#This Row],[Complexity]]*$A$11+SUM(Table1[[#This Row],[Other 
Integration]:[OEM 
Integration]])*$C$11</f>
        <v>0</v>
      </c>
      <c r="L131" s="7"/>
      <c r="M131" s="7"/>
    </row>
    <row r="132" spans="1:13" x14ac:dyDescent="0.3">
      <c r="A132" s="14">
        <v>116</v>
      </c>
      <c r="B132" s="14"/>
      <c r="C132" s="14"/>
      <c r="D132" s="14"/>
      <c r="E132" s="14"/>
      <c r="F132" s="14"/>
      <c r="G132" s="14"/>
      <c r="H132" s="14"/>
      <c r="I132" s="14"/>
      <c r="J132" s="16"/>
      <c r="K132" s="14">
        <f>Table1[[#This Row],[Complexity]]*$A$11+SUM(Table1[[#This Row],[Other 
Integration]:[OEM 
Integration]])*$C$11</f>
        <v>0</v>
      </c>
      <c r="L132" s="7"/>
      <c r="M132" s="7"/>
    </row>
    <row r="133" spans="1:13" x14ac:dyDescent="0.3">
      <c r="A133" s="14">
        <v>117</v>
      </c>
      <c r="B133" s="14"/>
      <c r="C133" s="14"/>
      <c r="D133" s="14"/>
      <c r="E133" s="14"/>
      <c r="F133" s="14"/>
      <c r="G133" s="14"/>
      <c r="H133" s="14"/>
      <c r="I133" s="14"/>
      <c r="J133" s="16"/>
      <c r="K133" s="14">
        <f>Table1[[#This Row],[Complexity]]*$A$11+SUM(Table1[[#This Row],[Other 
Integration]:[OEM 
Integration]])*$C$11</f>
        <v>0</v>
      </c>
      <c r="L133" s="7"/>
      <c r="M133" s="7"/>
    </row>
    <row r="134" spans="1:13" x14ac:dyDescent="0.3">
      <c r="A134" s="14">
        <v>118</v>
      </c>
      <c r="B134" s="14"/>
      <c r="C134" s="14"/>
      <c r="D134" s="14"/>
      <c r="E134" s="14"/>
      <c r="F134" s="14"/>
      <c r="G134" s="14"/>
      <c r="H134" s="14"/>
      <c r="I134" s="14"/>
      <c r="J134" s="16"/>
      <c r="K134" s="14">
        <f>Table1[[#This Row],[Complexity]]*$A$11+SUM(Table1[[#This Row],[Other 
Integration]:[OEM 
Integration]])*$C$11</f>
        <v>0</v>
      </c>
      <c r="L134" s="7"/>
      <c r="M134" s="7"/>
    </row>
    <row r="135" spans="1:13" x14ac:dyDescent="0.3">
      <c r="A135" s="14">
        <v>119</v>
      </c>
      <c r="B135" s="14"/>
      <c r="C135" s="14"/>
      <c r="D135" s="14"/>
      <c r="E135" s="14"/>
      <c r="F135" s="14"/>
      <c r="G135" s="14"/>
      <c r="H135" s="14"/>
      <c r="I135" s="14"/>
      <c r="J135" s="16"/>
      <c r="K135" s="14">
        <f>Table1[[#This Row],[Complexity]]*$A$11+SUM(Table1[[#This Row],[Other 
Integration]:[OEM 
Integration]])*$C$11</f>
        <v>0</v>
      </c>
      <c r="L135" s="7"/>
      <c r="M135" s="7"/>
    </row>
    <row r="136" spans="1:13" x14ac:dyDescent="0.3">
      <c r="A136" s="14">
        <v>120</v>
      </c>
      <c r="B136" s="14"/>
      <c r="C136" s="14"/>
      <c r="D136" s="14"/>
      <c r="E136" s="14"/>
      <c r="F136" s="14"/>
      <c r="G136" s="14"/>
      <c r="H136" s="14"/>
      <c r="I136" s="14"/>
      <c r="J136" s="16"/>
      <c r="K136" s="14">
        <f>Table1[[#This Row],[Complexity]]*$A$11+SUM(Table1[[#This Row],[Other 
Integration]:[OEM 
Integration]])*$C$11</f>
        <v>0</v>
      </c>
      <c r="L136" s="7"/>
      <c r="M136" s="7"/>
    </row>
    <row r="137" spans="1:13" x14ac:dyDescent="0.3">
      <c r="A137" s="14">
        <v>121</v>
      </c>
      <c r="B137" s="14"/>
      <c r="C137" s="14"/>
      <c r="D137" s="14"/>
      <c r="E137" s="14"/>
      <c r="F137" s="14"/>
      <c r="G137" s="14"/>
      <c r="H137" s="14"/>
      <c r="I137" s="14"/>
      <c r="J137" s="16"/>
      <c r="K137" s="14">
        <f>Table1[[#This Row],[Complexity]]*$A$11+SUM(Table1[[#This Row],[Other 
Integration]:[OEM 
Integration]])*$C$11</f>
        <v>0</v>
      </c>
      <c r="L137" s="7"/>
      <c r="M137" s="7"/>
    </row>
    <row r="138" spans="1:13" x14ac:dyDescent="0.3">
      <c r="A138" s="14">
        <v>122</v>
      </c>
      <c r="B138" s="14"/>
      <c r="C138" s="14"/>
      <c r="D138" s="14"/>
      <c r="E138" s="14"/>
      <c r="F138" s="14"/>
      <c r="G138" s="14"/>
      <c r="H138" s="14"/>
      <c r="I138" s="14"/>
      <c r="J138" s="16"/>
      <c r="K138" s="14">
        <f>Table1[[#This Row],[Complexity]]*$A$11+SUM(Table1[[#This Row],[Other 
Integration]:[OEM 
Integration]])*$C$11</f>
        <v>0</v>
      </c>
      <c r="L138" s="7"/>
      <c r="M138" s="7"/>
    </row>
    <row r="139" spans="1:13" x14ac:dyDescent="0.3">
      <c r="A139" s="14">
        <v>123</v>
      </c>
      <c r="B139" s="14"/>
      <c r="C139" s="14"/>
      <c r="D139" s="14"/>
      <c r="E139" s="14"/>
      <c r="F139" s="14"/>
      <c r="G139" s="14"/>
      <c r="H139" s="14"/>
      <c r="I139" s="14"/>
      <c r="J139" s="16"/>
      <c r="K139" s="14">
        <f>Table1[[#This Row],[Complexity]]*$A$11+SUM(Table1[[#This Row],[Other 
Integration]:[OEM 
Integration]])*$C$11</f>
        <v>0</v>
      </c>
      <c r="L139" s="7"/>
      <c r="M139" s="7"/>
    </row>
    <row r="140" spans="1:13" x14ac:dyDescent="0.3">
      <c r="A140" s="14">
        <v>124</v>
      </c>
      <c r="B140" s="14"/>
      <c r="C140" s="14"/>
      <c r="D140" s="14"/>
      <c r="E140" s="14"/>
      <c r="F140" s="14"/>
      <c r="G140" s="14"/>
      <c r="H140" s="14"/>
      <c r="I140" s="14"/>
      <c r="J140" s="16"/>
      <c r="K140" s="14">
        <f>Table1[[#This Row],[Complexity]]*$A$11+SUM(Table1[[#This Row],[Other 
Integration]:[OEM 
Integration]])*$C$11</f>
        <v>0</v>
      </c>
      <c r="L140" s="7"/>
      <c r="M140" s="7"/>
    </row>
    <row r="141" spans="1:13" x14ac:dyDescent="0.3">
      <c r="A141" s="14">
        <v>125</v>
      </c>
      <c r="B141" s="14"/>
      <c r="C141" s="14"/>
      <c r="D141" s="14"/>
      <c r="E141" s="14"/>
      <c r="F141" s="14"/>
      <c r="G141" s="14"/>
      <c r="H141" s="14"/>
      <c r="I141" s="14"/>
      <c r="J141" s="16"/>
      <c r="K141" s="14">
        <f>Table1[[#This Row],[Complexity]]*$A$11+SUM(Table1[[#This Row],[Other 
Integration]:[OEM 
Integration]])*$C$11</f>
        <v>0</v>
      </c>
      <c r="L141" s="7"/>
      <c r="M141" s="7"/>
    </row>
    <row r="142" spans="1:13" x14ac:dyDescent="0.3">
      <c r="A142" s="14">
        <v>126</v>
      </c>
      <c r="B142" s="14"/>
      <c r="C142" s="14"/>
      <c r="D142" s="14"/>
      <c r="E142" s="14"/>
      <c r="F142" s="14"/>
      <c r="G142" s="14"/>
      <c r="H142" s="14"/>
      <c r="I142" s="14"/>
      <c r="J142" s="16"/>
      <c r="K142" s="14">
        <f>Table1[[#This Row],[Complexity]]*$A$11+SUM(Table1[[#This Row],[Other 
Integration]:[OEM 
Integration]])*$C$11</f>
        <v>0</v>
      </c>
      <c r="L142" s="7"/>
      <c r="M142" s="7"/>
    </row>
    <row r="143" spans="1:13" x14ac:dyDescent="0.3">
      <c r="A143" s="14">
        <v>127</v>
      </c>
      <c r="B143" s="14"/>
      <c r="C143" s="14"/>
      <c r="D143" s="14"/>
      <c r="E143" s="14"/>
      <c r="F143" s="14"/>
      <c r="G143" s="14"/>
      <c r="H143" s="14"/>
      <c r="I143" s="14"/>
      <c r="J143" s="16"/>
      <c r="K143" s="14">
        <f>Table1[[#This Row],[Complexity]]*$A$11+SUM(Table1[[#This Row],[Other 
Integration]:[OEM 
Integration]])*$C$11</f>
        <v>0</v>
      </c>
      <c r="L143" s="7"/>
      <c r="M143" s="7"/>
    </row>
    <row r="144" spans="1:13" x14ac:dyDescent="0.3">
      <c r="A144" s="14">
        <v>128</v>
      </c>
      <c r="B144" s="14"/>
      <c r="C144" s="14"/>
      <c r="D144" s="14"/>
      <c r="E144" s="14"/>
      <c r="F144" s="14"/>
      <c r="G144" s="14"/>
      <c r="H144" s="14"/>
      <c r="I144" s="14"/>
      <c r="J144" s="16"/>
      <c r="K144" s="14">
        <f>Table1[[#This Row],[Complexity]]*$A$11+SUM(Table1[[#This Row],[Other 
Integration]:[OEM 
Integration]])*$C$11</f>
        <v>0</v>
      </c>
      <c r="L144" s="7"/>
      <c r="M144" s="7"/>
    </row>
    <row r="145" spans="1:13" x14ac:dyDescent="0.3">
      <c r="A145" s="14">
        <v>129</v>
      </c>
      <c r="B145" s="14"/>
      <c r="C145" s="14"/>
      <c r="D145" s="14"/>
      <c r="E145" s="14"/>
      <c r="F145" s="14"/>
      <c r="G145" s="14"/>
      <c r="H145" s="14"/>
      <c r="I145" s="14"/>
      <c r="J145" s="16"/>
      <c r="K145" s="14">
        <f>Table1[[#This Row],[Complexity]]*$A$11+SUM(Table1[[#This Row],[Other 
Integration]:[OEM 
Integration]])*$C$11</f>
        <v>0</v>
      </c>
      <c r="L145" s="7"/>
      <c r="M145" s="7"/>
    </row>
    <row r="146" spans="1:13" x14ac:dyDescent="0.3">
      <c r="A146" s="14">
        <v>130</v>
      </c>
      <c r="B146" s="14"/>
      <c r="C146" s="14"/>
      <c r="D146" s="14"/>
      <c r="E146" s="14"/>
      <c r="F146" s="14"/>
      <c r="G146" s="14"/>
      <c r="H146" s="14"/>
      <c r="I146" s="14"/>
      <c r="J146" s="16"/>
      <c r="K146" s="14">
        <f>Table1[[#This Row],[Complexity]]*$A$11+SUM(Table1[[#This Row],[Other 
Integration]:[OEM 
Integration]])*$C$11</f>
        <v>0</v>
      </c>
      <c r="L146" s="7"/>
      <c r="M146" s="7"/>
    </row>
    <row r="147" spans="1:13" x14ac:dyDescent="0.3">
      <c r="A147" s="14">
        <v>131</v>
      </c>
      <c r="B147" s="14"/>
      <c r="C147" s="14"/>
      <c r="D147" s="14"/>
      <c r="E147" s="14"/>
      <c r="F147" s="14"/>
      <c r="G147" s="14"/>
      <c r="H147" s="14"/>
      <c r="I147" s="14"/>
      <c r="J147" s="16"/>
      <c r="K147" s="14">
        <f>Table1[[#This Row],[Complexity]]*$A$11+SUM(Table1[[#This Row],[Other 
Integration]:[OEM 
Integration]])*$C$11</f>
        <v>0</v>
      </c>
      <c r="L147" s="7"/>
      <c r="M147" s="7"/>
    </row>
    <row r="148" spans="1:13" x14ac:dyDescent="0.3">
      <c r="A148" s="14">
        <v>132</v>
      </c>
      <c r="B148" s="14"/>
      <c r="C148" s="14"/>
      <c r="D148" s="14"/>
      <c r="E148" s="14"/>
      <c r="F148" s="14"/>
      <c r="G148" s="14"/>
      <c r="H148" s="14"/>
      <c r="I148" s="14"/>
      <c r="J148" s="16"/>
      <c r="K148" s="14">
        <f>Table1[[#This Row],[Complexity]]*$A$11+SUM(Table1[[#This Row],[Other 
Integration]:[OEM 
Integration]])*$C$11</f>
        <v>0</v>
      </c>
      <c r="L148" s="7"/>
      <c r="M148" s="7"/>
    </row>
    <row r="149" spans="1:13" x14ac:dyDescent="0.3">
      <c r="A149" s="14">
        <v>133</v>
      </c>
      <c r="B149" s="14"/>
      <c r="C149" s="14"/>
      <c r="D149" s="14"/>
      <c r="E149" s="14"/>
      <c r="F149" s="14"/>
      <c r="G149" s="14"/>
      <c r="H149" s="14"/>
      <c r="I149" s="14"/>
      <c r="J149" s="16"/>
      <c r="K149" s="14">
        <f>Table1[[#This Row],[Complexity]]*$A$11+SUM(Table1[[#This Row],[Other 
Integration]:[OEM 
Integration]])*$C$11</f>
        <v>0</v>
      </c>
      <c r="L149" s="7"/>
      <c r="M149" s="7"/>
    </row>
    <row r="150" spans="1:13" x14ac:dyDescent="0.3">
      <c r="A150" s="14">
        <v>134</v>
      </c>
      <c r="B150" s="14"/>
      <c r="C150" s="14"/>
      <c r="D150" s="14"/>
      <c r="E150" s="14"/>
      <c r="F150" s="14"/>
      <c r="G150" s="14"/>
      <c r="H150" s="14"/>
      <c r="I150" s="14"/>
      <c r="J150" s="16"/>
      <c r="K150" s="14">
        <f>Table1[[#This Row],[Complexity]]*$A$11+SUM(Table1[[#This Row],[Other 
Integration]:[OEM 
Integration]])*$C$11</f>
        <v>0</v>
      </c>
      <c r="L150" s="7"/>
      <c r="M150" s="7"/>
    </row>
    <row r="151" spans="1:13" x14ac:dyDescent="0.3">
      <c r="A151" s="14">
        <v>135</v>
      </c>
      <c r="B151" s="14"/>
      <c r="C151" s="14"/>
      <c r="D151" s="14"/>
      <c r="E151" s="14"/>
      <c r="F151" s="14"/>
      <c r="G151" s="14"/>
      <c r="H151" s="14"/>
      <c r="I151" s="14"/>
      <c r="J151" s="16"/>
      <c r="K151" s="14">
        <f>Table1[[#This Row],[Complexity]]*$A$11+SUM(Table1[[#This Row],[Other 
Integration]:[OEM 
Integration]])*$C$11</f>
        <v>0</v>
      </c>
      <c r="L151" s="7"/>
      <c r="M151" s="7"/>
    </row>
    <row r="152" spans="1:13" x14ac:dyDescent="0.3">
      <c r="A152" s="14">
        <v>136</v>
      </c>
      <c r="B152" s="14"/>
      <c r="C152" s="14"/>
      <c r="D152" s="14"/>
      <c r="E152" s="14"/>
      <c r="F152" s="14"/>
      <c r="G152" s="14"/>
      <c r="H152" s="14"/>
      <c r="I152" s="14"/>
      <c r="J152" s="16"/>
      <c r="K152" s="14">
        <f>Table1[[#This Row],[Complexity]]*$A$11+SUM(Table1[[#This Row],[Other 
Integration]:[OEM 
Integration]])*$C$11</f>
        <v>0</v>
      </c>
      <c r="L152" s="7"/>
      <c r="M152" s="7"/>
    </row>
    <row r="153" spans="1:13" x14ac:dyDescent="0.3">
      <c r="A153" s="14">
        <v>137</v>
      </c>
      <c r="B153" s="14"/>
      <c r="C153" s="14"/>
      <c r="D153" s="14"/>
      <c r="E153" s="14"/>
      <c r="F153" s="14"/>
      <c r="G153" s="14"/>
      <c r="H153" s="14"/>
      <c r="I153" s="14"/>
      <c r="J153" s="16"/>
      <c r="K153" s="14">
        <f>Table1[[#This Row],[Complexity]]*$A$11+SUM(Table1[[#This Row],[Other 
Integration]:[OEM 
Integration]])*$C$11</f>
        <v>0</v>
      </c>
      <c r="L153" s="7"/>
      <c r="M153" s="7"/>
    </row>
    <row r="154" spans="1:13" x14ac:dyDescent="0.3">
      <c r="A154" s="14">
        <v>138</v>
      </c>
      <c r="B154" s="14"/>
      <c r="C154" s="14"/>
      <c r="D154" s="14"/>
      <c r="E154" s="14"/>
      <c r="F154" s="14"/>
      <c r="G154" s="14"/>
      <c r="H154" s="14"/>
      <c r="I154" s="14"/>
      <c r="J154" s="16"/>
      <c r="K154" s="14">
        <f>Table1[[#This Row],[Complexity]]*$A$11+SUM(Table1[[#This Row],[Other 
Integration]:[OEM 
Integration]])*$C$11</f>
        <v>0</v>
      </c>
      <c r="L154" s="7"/>
      <c r="M154" s="7"/>
    </row>
    <row r="155" spans="1:13" x14ac:dyDescent="0.3">
      <c r="A155" s="14">
        <v>139</v>
      </c>
      <c r="B155" s="14"/>
      <c r="C155" s="14"/>
      <c r="D155" s="14"/>
      <c r="E155" s="14"/>
      <c r="F155" s="14"/>
      <c r="G155" s="14"/>
      <c r="H155" s="14"/>
      <c r="I155" s="14"/>
      <c r="J155" s="16"/>
      <c r="K155" s="14">
        <f>Table1[[#This Row],[Complexity]]*$A$11+SUM(Table1[[#This Row],[Other 
Integration]:[OEM 
Integration]])*$C$11</f>
        <v>0</v>
      </c>
      <c r="L155" s="7"/>
      <c r="M155" s="7"/>
    </row>
    <row r="156" spans="1:13" x14ac:dyDescent="0.3">
      <c r="A156" s="14">
        <v>140</v>
      </c>
      <c r="B156" s="14"/>
      <c r="C156" s="14"/>
      <c r="D156" s="14"/>
      <c r="E156" s="14"/>
      <c r="F156" s="14"/>
      <c r="G156" s="14"/>
      <c r="H156" s="14"/>
      <c r="I156" s="14"/>
      <c r="J156" s="16"/>
      <c r="K156" s="14">
        <f>Table1[[#This Row],[Complexity]]*$A$11+SUM(Table1[[#This Row],[Other 
Integration]:[OEM 
Integration]])*$C$11</f>
        <v>0</v>
      </c>
      <c r="L156" s="7"/>
      <c r="M156" s="7"/>
    </row>
    <row r="157" spans="1:13" x14ac:dyDescent="0.3">
      <c r="A157" s="14">
        <v>141</v>
      </c>
      <c r="B157" s="14"/>
      <c r="C157" s="14"/>
      <c r="D157" s="14"/>
      <c r="E157" s="14"/>
      <c r="F157" s="14"/>
      <c r="G157" s="14"/>
      <c r="H157" s="14"/>
      <c r="I157" s="14"/>
      <c r="J157" s="16"/>
      <c r="K157" s="14">
        <f>Table1[[#This Row],[Complexity]]*$A$11+SUM(Table1[[#This Row],[Other 
Integration]:[OEM 
Integration]])*$C$11</f>
        <v>0</v>
      </c>
      <c r="L157" s="7"/>
      <c r="M157" s="7"/>
    </row>
    <row r="158" spans="1:13" x14ac:dyDescent="0.3">
      <c r="A158" s="14">
        <v>142</v>
      </c>
      <c r="B158" s="14"/>
      <c r="C158" s="14"/>
      <c r="D158" s="14"/>
      <c r="E158" s="14"/>
      <c r="F158" s="14"/>
      <c r="G158" s="14"/>
      <c r="H158" s="14"/>
      <c r="I158" s="14"/>
      <c r="J158" s="16"/>
      <c r="K158" s="14">
        <f>Table1[[#This Row],[Complexity]]*$A$11+SUM(Table1[[#This Row],[Other 
Integration]:[OEM 
Integration]])*$C$11</f>
        <v>0</v>
      </c>
      <c r="L158" s="7"/>
      <c r="M158" s="7"/>
    </row>
    <row r="159" spans="1:13" x14ac:dyDescent="0.3">
      <c r="A159" s="14">
        <v>143</v>
      </c>
      <c r="B159" s="14"/>
      <c r="C159" s="14"/>
      <c r="D159" s="14"/>
      <c r="E159" s="14"/>
      <c r="F159" s="14"/>
      <c r="G159" s="14"/>
      <c r="H159" s="14"/>
      <c r="I159" s="14"/>
      <c r="J159" s="16"/>
      <c r="K159" s="14">
        <f>Table1[[#This Row],[Complexity]]*$A$11+SUM(Table1[[#This Row],[Other 
Integration]:[OEM 
Integration]])*$C$11</f>
        <v>0</v>
      </c>
      <c r="L159" s="7"/>
      <c r="M159" s="7"/>
    </row>
    <row r="160" spans="1:13" x14ac:dyDescent="0.3">
      <c r="A160" s="14">
        <v>144</v>
      </c>
      <c r="B160" s="14"/>
      <c r="C160" s="14"/>
      <c r="D160" s="14"/>
      <c r="E160" s="14"/>
      <c r="F160" s="14"/>
      <c r="G160" s="14"/>
      <c r="H160" s="14"/>
      <c r="I160" s="14"/>
      <c r="J160" s="16"/>
      <c r="K160" s="14">
        <f>Table1[[#This Row],[Complexity]]*$A$11+SUM(Table1[[#This Row],[Other 
Integration]:[OEM 
Integration]])*$C$11</f>
        <v>0</v>
      </c>
      <c r="L160" s="7"/>
      <c r="M160" s="7"/>
    </row>
    <row r="161" spans="1:13" x14ac:dyDescent="0.3">
      <c r="A161" s="14">
        <v>145</v>
      </c>
      <c r="B161" s="14"/>
      <c r="C161" s="14"/>
      <c r="D161" s="14"/>
      <c r="E161" s="14"/>
      <c r="F161" s="14"/>
      <c r="G161" s="14"/>
      <c r="H161" s="14"/>
      <c r="I161" s="14"/>
      <c r="J161" s="16"/>
      <c r="K161" s="14">
        <f>Table1[[#This Row],[Complexity]]*$A$11+SUM(Table1[[#This Row],[Other 
Integration]:[OEM 
Integration]])*$C$11</f>
        <v>0</v>
      </c>
      <c r="L161" s="7"/>
      <c r="M161" s="7"/>
    </row>
    <row r="162" spans="1:13" x14ac:dyDescent="0.3">
      <c r="A162" s="14">
        <v>146</v>
      </c>
      <c r="B162" s="14"/>
      <c r="C162" s="14"/>
      <c r="D162" s="14"/>
      <c r="E162" s="14"/>
      <c r="F162" s="14"/>
      <c r="G162" s="14"/>
      <c r="H162" s="14"/>
      <c r="I162" s="14"/>
      <c r="J162" s="16"/>
      <c r="K162" s="14">
        <f>Table1[[#This Row],[Complexity]]*$A$11+SUM(Table1[[#This Row],[Other 
Integration]:[OEM 
Integration]])*$C$11</f>
        <v>0</v>
      </c>
      <c r="L162" s="7"/>
      <c r="M162" s="7"/>
    </row>
    <row r="163" spans="1:13" x14ac:dyDescent="0.3">
      <c r="A163" s="14">
        <v>147</v>
      </c>
      <c r="B163" s="14"/>
      <c r="C163" s="14"/>
      <c r="D163" s="14"/>
      <c r="E163" s="14"/>
      <c r="F163" s="14"/>
      <c r="G163" s="14"/>
      <c r="H163" s="14"/>
      <c r="I163" s="14"/>
      <c r="J163" s="16"/>
      <c r="K163" s="14">
        <f>Table1[[#This Row],[Complexity]]*$A$11+SUM(Table1[[#This Row],[Other 
Integration]:[OEM 
Integration]])*$C$11</f>
        <v>0</v>
      </c>
      <c r="L163" s="7"/>
      <c r="M163" s="7"/>
    </row>
    <row r="164" spans="1:13" x14ac:dyDescent="0.3">
      <c r="A164" s="14">
        <v>148</v>
      </c>
      <c r="B164" s="14"/>
      <c r="C164" s="14"/>
      <c r="D164" s="14"/>
      <c r="E164" s="14"/>
      <c r="F164" s="14"/>
      <c r="G164" s="14"/>
      <c r="H164" s="14"/>
      <c r="I164" s="14"/>
      <c r="J164" s="16"/>
      <c r="K164" s="14">
        <f>Table1[[#This Row],[Complexity]]*$A$11+SUM(Table1[[#This Row],[Other 
Integration]:[OEM 
Integration]])*$C$11</f>
        <v>0</v>
      </c>
      <c r="L164" s="7"/>
      <c r="M164" s="7"/>
    </row>
    <row r="165" spans="1:13" x14ac:dyDescent="0.3">
      <c r="A165" s="14">
        <v>149</v>
      </c>
      <c r="B165" s="14"/>
      <c r="C165" s="14"/>
      <c r="D165" s="14"/>
      <c r="E165" s="14"/>
      <c r="F165" s="14"/>
      <c r="G165" s="14"/>
      <c r="H165" s="14"/>
      <c r="I165" s="14"/>
      <c r="J165" s="16"/>
      <c r="K165" s="14">
        <f>Table1[[#This Row],[Complexity]]*$A$11+SUM(Table1[[#This Row],[Other 
Integration]:[OEM 
Integration]])*$C$11</f>
        <v>0</v>
      </c>
      <c r="L165" s="7"/>
      <c r="M165" s="7"/>
    </row>
    <row r="166" spans="1:13" x14ac:dyDescent="0.3">
      <c r="A166" s="14">
        <v>150</v>
      </c>
      <c r="B166" s="14"/>
      <c r="C166" s="14"/>
      <c r="D166" s="14"/>
      <c r="E166" s="14"/>
      <c r="F166" s="14"/>
      <c r="G166" s="14"/>
      <c r="H166" s="14"/>
      <c r="I166" s="14"/>
      <c r="J166" s="16"/>
      <c r="K166" s="14">
        <f>Table1[[#This Row],[Complexity]]*$A$11+SUM(Table1[[#This Row],[Other 
Integration]:[OEM 
Integration]])*$C$11</f>
        <v>0</v>
      </c>
      <c r="L166" s="7"/>
      <c r="M166" s="7"/>
    </row>
    <row r="167" spans="1:13" x14ac:dyDescent="0.3">
      <c r="A167" s="14">
        <v>151</v>
      </c>
      <c r="B167" s="14"/>
      <c r="C167" s="14"/>
      <c r="D167" s="14"/>
      <c r="E167" s="14"/>
      <c r="F167" s="14"/>
      <c r="G167" s="14"/>
      <c r="H167" s="14"/>
      <c r="I167" s="14"/>
      <c r="J167" s="16"/>
      <c r="K167" s="14">
        <f>Table1[[#This Row],[Complexity]]*$A$11+SUM(Table1[[#This Row],[Other 
Integration]:[OEM 
Integration]])*$C$11</f>
        <v>0</v>
      </c>
      <c r="L167" s="7"/>
      <c r="M167" s="7"/>
    </row>
    <row r="168" spans="1:13" x14ac:dyDescent="0.3">
      <c r="A168" s="14">
        <v>152</v>
      </c>
      <c r="B168" s="14"/>
      <c r="C168" s="14"/>
      <c r="D168" s="14"/>
      <c r="E168" s="14"/>
      <c r="F168" s="14"/>
      <c r="G168" s="14"/>
      <c r="H168" s="14"/>
      <c r="I168" s="14"/>
      <c r="J168" s="16"/>
      <c r="K168" s="14">
        <f>Table1[[#This Row],[Complexity]]*$A$11+SUM(Table1[[#This Row],[Other 
Integration]:[OEM 
Integration]])*$C$11</f>
        <v>0</v>
      </c>
      <c r="L168" s="7"/>
      <c r="M168" s="7"/>
    </row>
    <row r="169" spans="1:13" x14ac:dyDescent="0.3">
      <c r="A169" s="14">
        <v>153</v>
      </c>
      <c r="B169" s="14"/>
      <c r="C169" s="14"/>
      <c r="D169" s="14"/>
      <c r="E169" s="14"/>
      <c r="F169" s="14"/>
      <c r="G169" s="14"/>
      <c r="H169" s="14"/>
      <c r="I169" s="14"/>
      <c r="J169" s="16"/>
      <c r="K169" s="14">
        <f>Table1[[#This Row],[Complexity]]*$A$11+SUM(Table1[[#This Row],[Other 
Integration]:[OEM 
Integration]])*$C$11</f>
        <v>0</v>
      </c>
      <c r="L169" s="7"/>
      <c r="M169" s="7"/>
    </row>
    <row r="170" spans="1:13" x14ac:dyDescent="0.3">
      <c r="A170" s="14">
        <v>154</v>
      </c>
      <c r="B170" s="14"/>
      <c r="C170" s="14"/>
      <c r="D170" s="14"/>
      <c r="E170" s="14"/>
      <c r="F170" s="14"/>
      <c r="G170" s="14"/>
      <c r="H170" s="14"/>
      <c r="I170" s="14"/>
      <c r="J170" s="16"/>
      <c r="K170" s="14">
        <f>Table1[[#This Row],[Complexity]]*$A$11+SUM(Table1[[#This Row],[Other 
Integration]:[OEM 
Integration]])*$C$11</f>
        <v>0</v>
      </c>
      <c r="L170" s="7"/>
      <c r="M170" s="7"/>
    </row>
    <row r="171" spans="1:13" x14ac:dyDescent="0.3">
      <c r="A171" s="14">
        <v>155</v>
      </c>
      <c r="B171" s="14"/>
      <c r="C171" s="14"/>
      <c r="D171" s="14"/>
      <c r="E171" s="14"/>
      <c r="F171" s="14"/>
      <c r="G171" s="14"/>
      <c r="H171" s="14"/>
      <c r="I171" s="14"/>
      <c r="J171" s="16"/>
      <c r="K171" s="14">
        <f>Table1[[#This Row],[Complexity]]*$A$11+SUM(Table1[[#This Row],[Other 
Integration]:[OEM 
Integration]])*$C$11</f>
        <v>0</v>
      </c>
      <c r="L171" s="7"/>
      <c r="M171" s="7"/>
    </row>
    <row r="172" spans="1:13" x14ac:dyDescent="0.3">
      <c r="A172" s="14">
        <v>156</v>
      </c>
      <c r="B172" s="14"/>
      <c r="C172" s="14"/>
      <c r="D172" s="14"/>
      <c r="E172" s="14"/>
      <c r="F172" s="14"/>
      <c r="G172" s="14"/>
      <c r="H172" s="14"/>
      <c r="I172" s="14"/>
      <c r="J172" s="16"/>
      <c r="K172" s="14">
        <f>Table1[[#This Row],[Complexity]]*$A$11+SUM(Table1[[#This Row],[Other 
Integration]:[OEM 
Integration]])*$C$11</f>
        <v>0</v>
      </c>
      <c r="L172" s="7"/>
      <c r="M172" s="7"/>
    </row>
    <row r="173" spans="1:13" x14ac:dyDescent="0.3">
      <c r="A173" s="14">
        <v>157</v>
      </c>
      <c r="B173" s="14"/>
      <c r="C173" s="14"/>
      <c r="D173" s="14"/>
      <c r="E173" s="14"/>
      <c r="F173" s="14"/>
      <c r="G173" s="14"/>
      <c r="H173" s="14"/>
      <c r="I173" s="14"/>
      <c r="J173" s="16"/>
      <c r="K173" s="14">
        <f>Table1[[#This Row],[Complexity]]*$A$11+SUM(Table1[[#This Row],[Other 
Integration]:[OEM 
Integration]])*$C$11</f>
        <v>0</v>
      </c>
      <c r="L173" s="7"/>
      <c r="M173" s="7"/>
    </row>
    <row r="174" spans="1:13" x14ac:dyDescent="0.3">
      <c r="A174" s="14">
        <v>158</v>
      </c>
      <c r="B174" s="14"/>
      <c r="C174" s="14"/>
      <c r="D174" s="14"/>
      <c r="E174" s="14"/>
      <c r="F174" s="14"/>
      <c r="G174" s="14"/>
      <c r="H174" s="14"/>
      <c r="I174" s="14"/>
      <c r="J174" s="16"/>
      <c r="K174" s="14">
        <f>Table1[[#This Row],[Complexity]]*$A$11+SUM(Table1[[#This Row],[Other 
Integration]:[OEM 
Integration]])*$C$11</f>
        <v>0</v>
      </c>
      <c r="L174" s="7"/>
      <c r="M174" s="7"/>
    </row>
    <row r="175" spans="1:13" x14ac:dyDescent="0.3">
      <c r="A175" s="14">
        <v>159</v>
      </c>
      <c r="B175" s="14"/>
      <c r="C175" s="14"/>
      <c r="D175" s="14"/>
      <c r="E175" s="14"/>
      <c r="F175" s="14"/>
      <c r="G175" s="14"/>
      <c r="H175" s="14"/>
      <c r="I175" s="14"/>
      <c r="J175" s="16"/>
      <c r="K175" s="14">
        <f>Table1[[#This Row],[Complexity]]*$A$11+SUM(Table1[[#This Row],[Other 
Integration]:[OEM 
Integration]])*$C$11</f>
        <v>0</v>
      </c>
      <c r="L175" s="7"/>
      <c r="M175" s="7"/>
    </row>
    <row r="176" spans="1:13" x14ac:dyDescent="0.3">
      <c r="A176" s="14">
        <v>160</v>
      </c>
      <c r="B176" s="14"/>
      <c r="C176" s="14"/>
      <c r="D176" s="14"/>
      <c r="E176" s="14"/>
      <c r="F176" s="14"/>
      <c r="G176" s="14"/>
      <c r="H176" s="14"/>
      <c r="I176" s="14"/>
      <c r="J176" s="16"/>
      <c r="K176" s="14">
        <f>Table1[[#This Row],[Complexity]]*$A$11+SUM(Table1[[#This Row],[Other 
Integration]:[OEM 
Integration]])*$C$11</f>
        <v>0</v>
      </c>
      <c r="L176" s="7"/>
      <c r="M176" s="7"/>
    </row>
    <row r="177" spans="1:13" x14ac:dyDescent="0.3">
      <c r="A177" s="14">
        <v>161</v>
      </c>
      <c r="B177" s="14"/>
      <c r="C177" s="14"/>
      <c r="D177" s="14"/>
      <c r="E177" s="14"/>
      <c r="F177" s="14"/>
      <c r="G177" s="14"/>
      <c r="H177" s="14"/>
      <c r="I177" s="14"/>
      <c r="J177" s="16"/>
      <c r="K177" s="14">
        <f>Table1[[#This Row],[Complexity]]*$A$11+SUM(Table1[[#This Row],[Other 
Integration]:[OEM 
Integration]])*$C$11</f>
        <v>0</v>
      </c>
      <c r="L177" s="7"/>
      <c r="M177" s="7"/>
    </row>
    <row r="178" spans="1:13" x14ac:dyDescent="0.3">
      <c r="A178" s="14">
        <v>162</v>
      </c>
      <c r="B178" s="14"/>
      <c r="C178" s="14"/>
      <c r="D178" s="14"/>
      <c r="E178" s="14"/>
      <c r="F178" s="14"/>
      <c r="G178" s="14"/>
      <c r="H178" s="14"/>
      <c r="I178" s="14"/>
      <c r="J178" s="16"/>
      <c r="K178" s="14">
        <f>Table1[[#This Row],[Complexity]]*$A$11+SUM(Table1[[#This Row],[Other 
Integration]:[OEM 
Integration]])*$C$11</f>
        <v>0</v>
      </c>
      <c r="L178" s="7"/>
      <c r="M178" s="7"/>
    </row>
    <row r="179" spans="1:13" x14ac:dyDescent="0.3">
      <c r="A179" s="14">
        <v>163</v>
      </c>
      <c r="B179" s="14"/>
      <c r="C179" s="14"/>
      <c r="D179" s="14"/>
      <c r="E179" s="14"/>
      <c r="F179" s="14"/>
      <c r="G179" s="14"/>
      <c r="H179" s="14"/>
      <c r="I179" s="14"/>
      <c r="J179" s="16"/>
      <c r="K179" s="14">
        <f>Table1[[#This Row],[Complexity]]*$A$11+SUM(Table1[[#This Row],[Other 
Integration]:[OEM 
Integration]])*$C$11</f>
        <v>0</v>
      </c>
      <c r="L179" s="7"/>
      <c r="M179" s="7"/>
    </row>
    <row r="180" spans="1:13" x14ac:dyDescent="0.3">
      <c r="A180" s="14">
        <v>164</v>
      </c>
      <c r="B180" s="14"/>
      <c r="C180" s="14"/>
      <c r="D180" s="14"/>
      <c r="E180" s="14"/>
      <c r="F180" s="14"/>
      <c r="G180" s="14"/>
      <c r="H180" s="14"/>
      <c r="I180" s="14"/>
      <c r="J180" s="16"/>
      <c r="K180" s="14">
        <f>Table1[[#This Row],[Complexity]]*$A$11+SUM(Table1[[#This Row],[Other 
Integration]:[OEM 
Integration]])*$C$11</f>
        <v>0</v>
      </c>
      <c r="L180" s="7"/>
      <c r="M180" s="7"/>
    </row>
    <row r="181" spans="1:13" x14ac:dyDescent="0.3">
      <c r="A181" s="14">
        <v>165</v>
      </c>
      <c r="B181" s="14"/>
      <c r="C181" s="14"/>
      <c r="D181" s="14"/>
      <c r="E181" s="14"/>
      <c r="F181" s="14"/>
      <c r="G181" s="14"/>
      <c r="H181" s="14"/>
      <c r="I181" s="14"/>
      <c r="J181" s="16"/>
      <c r="K181" s="14">
        <f>Table1[[#This Row],[Complexity]]*$A$11+SUM(Table1[[#This Row],[Other 
Integration]:[OEM 
Integration]])*$C$11</f>
        <v>0</v>
      </c>
      <c r="L181" s="7"/>
      <c r="M181" s="7"/>
    </row>
    <row r="182" spans="1:13" x14ac:dyDescent="0.3">
      <c r="A182" s="14">
        <v>166</v>
      </c>
      <c r="B182" s="14"/>
      <c r="C182" s="14"/>
      <c r="D182" s="14"/>
      <c r="E182" s="14"/>
      <c r="F182" s="14"/>
      <c r="G182" s="14"/>
      <c r="H182" s="14"/>
      <c r="I182" s="14"/>
      <c r="J182" s="16"/>
      <c r="K182" s="14">
        <f>Table1[[#This Row],[Complexity]]*$A$11+SUM(Table1[[#This Row],[Other 
Integration]:[OEM 
Integration]])*$C$11</f>
        <v>0</v>
      </c>
      <c r="L182" s="7"/>
      <c r="M182" s="7"/>
    </row>
    <row r="183" spans="1:13" x14ac:dyDescent="0.3">
      <c r="A183" s="14">
        <v>167</v>
      </c>
      <c r="B183" s="14"/>
      <c r="C183" s="14"/>
      <c r="D183" s="14"/>
      <c r="E183" s="14"/>
      <c r="F183" s="14"/>
      <c r="G183" s="14"/>
      <c r="H183" s="14"/>
      <c r="I183" s="14"/>
      <c r="J183" s="16"/>
      <c r="K183" s="14">
        <f>Table1[[#This Row],[Complexity]]*$A$11+SUM(Table1[[#This Row],[Other 
Integration]:[OEM 
Integration]])*$C$11</f>
        <v>0</v>
      </c>
      <c r="L183" s="7"/>
      <c r="M183" s="7"/>
    </row>
    <row r="184" spans="1:13" x14ac:dyDescent="0.3">
      <c r="A184" s="14">
        <v>168</v>
      </c>
      <c r="B184" s="14"/>
      <c r="C184" s="14"/>
      <c r="D184" s="14"/>
      <c r="E184" s="14"/>
      <c r="F184" s="14"/>
      <c r="G184" s="14"/>
      <c r="H184" s="14"/>
      <c r="I184" s="14"/>
      <c r="J184" s="16"/>
      <c r="K184" s="14">
        <f>Table1[[#This Row],[Complexity]]*$A$11+SUM(Table1[[#This Row],[Other 
Integration]:[OEM 
Integration]])*$C$11</f>
        <v>0</v>
      </c>
      <c r="L184" s="7"/>
      <c r="M184" s="7"/>
    </row>
    <row r="185" spans="1:13" x14ac:dyDescent="0.3">
      <c r="A185" s="14">
        <v>169</v>
      </c>
      <c r="B185" s="14"/>
      <c r="C185" s="14"/>
      <c r="D185" s="14"/>
      <c r="E185" s="14"/>
      <c r="F185" s="14"/>
      <c r="G185" s="14"/>
      <c r="H185" s="14"/>
      <c r="I185" s="14"/>
      <c r="J185" s="16"/>
      <c r="K185" s="14">
        <f>Table1[[#This Row],[Complexity]]*$A$11+SUM(Table1[[#This Row],[Other 
Integration]:[OEM 
Integration]])*$C$11</f>
        <v>0</v>
      </c>
      <c r="L185" s="7"/>
      <c r="M185" s="7"/>
    </row>
    <row r="186" spans="1:13" x14ac:dyDescent="0.3">
      <c r="A186" s="14">
        <v>170</v>
      </c>
      <c r="B186" s="14"/>
      <c r="C186" s="14"/>
      <c r="D186" s="14"/>
      <c r="E186" s="14"/>
      <c r="F186" s="14"/>
      <c r="G186" s="14"/>
      <c r="H186" s="14"/>
      <c r="I186" s="14"/>
      <c r="J186" s="16"/>
      <c r="K186" s="14">
        <f>Table1[[#This Row],[Complexity]]*$A$11+SUM(Table1[[#This Row],[Other 
Integration]:[OEM 
Integration]])*$C$11</f>
        <v>0</v>
      </c>
      <c r="L186" s="7"/>
      <c r="M186" s="7"/>
    </row>
    <row r="187" spans="1:13" x14ac:dyDescent="0.3">
      <c r="A187" s="14">
        <v>171</v>
      </c>
      <c r="B187" s="14"/>
      <c r="C187" s="14"/>
      <c r="D187" s="14"/>
      <c r="E187" s="14"/>
      <c r="F187" s="14"/>
      <c r="G187" s="14"/>
      <c r="H187" s="14"/>
      <c r="I187" s="14"/>
      <c r="J187" s="16"/>
      <c r="K187" s="14">
        <f>Table1[[#This Row],[Complexity]]*$A$11+SUM(Table1[[#This Row],[Other 
Integration]:[OEM 
Integration]])*$C$11</f>
        <v>0</v>
      </c>
      <c r="L187" s="7"/>
      <c r="M187" s="7"/>
    </row>
    <row r="188" spans="1:13" x14ac:dyDescent="0.3">
      <c r="A188" s="14">
        <v>172</v>
      </c>
      <c r="B188" s="14"/>
      <c r="C188" s="14"/>
      <c r="D188" s="14"/>
      <c r="E188" s="14"/>
      <c r="F188" s="14"/>
      <c r="G188" s="14"/>
      <c r="H188" s="14"/>
      <c r="I188" s="14"/>
      <c r="J188" s="16"/>
      <c r="K188" s="14">
        <f>Table1[[#This Row],[Complexity]]*$A$11+SUM(Table1[[#This Row],[Other 
Integration]:[OEM 
Integration]])*$C$11</f>
        <v>0</v>
      </c>
      <c r="L188" s="7"/>
      <c r="M188" s="7"/>
    </row>
    <row r="189" spans="1:13" x14ac:dyDescent="0.3">
      <c r="A189" s="14">
        <v>173</v>
      </c>
      <c r="B189" s="14"/>
      <c r="C189" s="14"/>
      <c r="D189" s="14"/>
      <c r="E189" s="14"/>
      <c r="F189" s="14"/>
      <c r="G189" s="14"/>
      <c r="H189" s="14"/>
      <c r="I189" s="14"/>
      <c r="J189" s="16"/>
      <c r="K189" s="14">
        <f>Table1[[#This Row],[Complexity]]*$A$11+SUM(Table1[[#This Row],[Other 
Integration]:[OEM 
Integration]])*$C$11</f>
        <v>0</v>
      </c>
      <c r="L189" s="7"/>
      <c r="M189" s="7"/>
    </row>
    <row r="190" spans="1:13" x14ac:dyDescent="0.3">
      <c r="A190" s="14">
        <v>174</v>
      </c>
      <c r="B190" s="14"/>
      <c r="C190" s="14"/>
      <c r="D190" s="14"/>
      <c r="E190" s="14"/>
      <c r="F190" s="14"/>
      <c r="G190" s="14"/>
      <c r="H190" s="14"/>
      <c r="I190" s="14"/>
      <c r="J190" s="16"/>
      <c r="K190" s="14">
        <f>Table1[[#This Row],[Complexity]]*$A$11+SUM(Table1[[#This Row],[Other 
Integration]:[OEM 
Integration]])*$C$11</f>
        <v>0</v>
      </c>
      <c r="L190" s="7"/>
      <c r="M190" s="7"/>
    </row>
    <row r="191" spans="1:13" x14ac:dyDescent="0.3">
      <c r="A191" s="14">
        <v>175</v>
      </c>
      <c r="B191" s="14"/>
      <c r="C191" s="14"/>
      <c r="D191" s="14"/>
      <c r="E191" s="14"/>
      <c r="F191" s="14"/>
      <c r="G191" s="14"/>
      <c r="H191" s="14"/>
      <c r="I191" s="14"/>
      <c r="J191" s="16"/>
      <c r="K191" s="14">
        <f>Table1[[#This Row],[Complexity]]*$A$11+SUM(Table1[[#This Row],[Other 
Integration]:[OEM 
Integration]])*$C$11</f>
        <v>0</v>
      </c>
      <c r="L191" s="7"/>
      <c r="M191" s="7"/>
    </row>
    <row r="192" spans="1:13" x14ac:dyDescent="0.3">
      <c r="A192" s="14">
        <v>176</v>
      </c>
      <c r="B192" s="14"/>
      <c r="C192" s="14"/>
      <c r="D192" s="14"/>
      <c r="E192" s="14"/>
      <c r="F192" s="14"/>
      <c r="G192" s="14"/>
      <c r="H192" s="14"/>
      <c r="I192" s="14"/>
      <c r="J192" s="16"/>
      <c r="K192" s="14">
        <f>Table1[[#This Row],[Complexity]]*$A$11+SUM(Table1[[#This Row],[Other 
Integration]:[OEM 
Integration]])*$C$11</f>
        <v>0</v>
      </c>
      <c r="L192" s="7"/>
      <c r="M192" s="7"/>
    </row>
    <row r="193" spans="1:13" x14ac:dyDescent="0.3">
      <c r="A193" s="14">
        <v>177</v>
      </c>
      <c r="B193" s="14"/>
      <c r="C193" s="14"/>
      <c r="D193" s="14"/>
      <c r="E193" s="14"/>
      <c r="F193" s="14"/>
      <c r="G193" s="14"/>
      <c r="H193" s="14"/>
      <c r="I193" s="14"/>
      <c r="J193" s="16"/>
      <c r="K193" s="14">
        <f>Table1[[#This Row],[Complexity]]*$A$11+SUM(Table1[[#This Row],[Other 
Integration]:[OEM 
Integration]])*$C$11</f>
        <v>0</v>
      </c>
      <c r="L193" s="7"/>
      <c r="M193" s="7"/>
    </row>
    <row r="194" spans="1:13" x14ac:dyDescent="0.3">
      <c r="A194" s="14">
        <v>178</v>
      </c>
      <c r="B194" s="14"/>
      <c r="C194" s="14"/>
      <c r="D194" s="14"/>
      <c r="E194" s="14"/>
      <c r="F194" s="14"/>
      <c r="G194" s="14"/>
      <c r="H194" s="14"/>
      <c r="I194" s="14"/>
      <c r="J194" s="16"/>
      <c r="K194" s="14">
        <f>Table1[[#This Row],[Complexity]]*$A$11+SUM(Table1[[#This Row],[Other 
Integration]:[OEM 
Integration]])*$C$11</f>
        <v>0</v>
      </c>
      <c r="L194" s="7"/>
      <c r="M194" s="7"/>
    </row>
    <row r="195" spans="1:13" x14ac:dyDescent="0.3">
      <c r="A195" s="14">
        <v>179</v>
      </c>
      <c r="B195" s="14"/>
      <c r="C195" s="14"/>
      <c r="D195" s="14"/>
      <c r="E195" s="14"/>
      <c r="F195" s="14"/>
      <c r="G195" s="14"/>
      <c r="H195" s="14"/>
      <c r="I195" s="14"/>
      <c r="J195" s="16"/>
      <c r="K195" s="14">
        <f>Table1[[#This Row],[Complexity]]*$A$11+SUM(Table1[[#This Row],[Other 
Integration]:[OEM 
Integration]])*$C$11</f>
        <v>0</v>
      </c>
      <c r="L195" s="7"/>
      <c r="M195" s="7"/>
    </row>
    <row r="196" spans="1:13" x14ac:dyDescent="0.3">
      <c r="A196" s="14">
        <v>180</v>
      </c>
      <c r="B196" s="14"/>
      <c r="C196" s="14"/>
      <c r="D196" s="14"/>
      <c r="E196" s="14"/>
      <c r="F196" s="14"/>
      <c r="G196" s="14"/>
      <c r="H196" s="14"/>
      <c r="I196" s="14"/>
      <c r="J196" s="16"/>
      <c r="K196" s="14">
        <f>Table1[[#This Row],[Complexity]]*$A$11+SUM(Table1[[#This Row],[Other 
Integration]:[OEM 
Integration]])*$C$11</f>
        <v>0</v>
      </c>
      <c r="L196" s="7"/>
      <c r="M196" s="7"/>
    </row>
    <row r="197" spans="1:13" x14ac:dyDescent="0.3">
      <c r="A197" s="14">
        <v>181</v>
      </c>
      <c r="B197" s="14"/>
      <c r="C197" s="14"/>
      <c r="D197" s="14"/>
      <c r="E197" s="14"/>
      <c r="F197" s="14"/>
      <c r="G197" s="14"/>
      <c r="H197" s="14"/>
      <c r="I197" s="14"/>
      <c r="J197" s="16"/>
      <c r="K197" s="14">
        <f>Table1[[#This Row],[Complexity]]*$A$11+SUM(Table1[[#This Row],[Other 
Integration]:[OEM 
Integration]])*$C$11</f>
        <v>0</v>
      </c>
      <c r="L197" s="7"/>
      <c r="M197" s="7"/>
    </row>
    <row r="198" spans="1:13" x14ac:dyDescent="0.3">
      <c r="A198" s="14">
        <v>182</v>
      </c>
      <c r="B198" s="14"/>
      <c r="C198" s="14"/>
      <c r="D198" s="14"/>
      <c r="E198" s="14"/>
      <c r="F198" s="14"/>
      <c r="G198" s="14"/>
      <c r="H198" s="14"/>
      <c r="I198" s="14"/>
      <c r="J198" s="16"/>
      <c r="K198" s="14">
        <f>Table1[[#This Row],[Complexity]]*$A$11+SUM(Table1[[#This Row],[Other 
Integration]:[OEM 
Integration]])*$C$11</f>
        <v>0</v>
      </c>
      <c r="L198" s="7"/>
      <c r="M198" s="7"/>
    </row>
    <row r="199" spans="1:13" x14ac:dyDescent="0.3">
      <c r="A199" s="14">
        <v>183</v>
      </c>
      <c r="B199" s="14"/>
      <c r="C199" s="14"/>
      <c r="D199" s="14"/>
      <c r="E199" s="14"/>
      <c r="F199" s="14"/>
      <c r="G199" s="14"/>
      <c r="H199" s="14"/>
      <c r="I199" s="14"/>
      <c r="J199" s="16"/>
      <c r="K199" s="14">
        <f>Table1[[#This Row],[Complexity]]*$A$11+SUM(Table1[[#This Row],[Other 
Integration]:[OEM 
Integration]])*$C$11</f>
        <v>0</v>
      </c>
      <c r="L199" s="7"/>
      <c r="M199" s="7"/>
    </row>
    <row r="200" spans="1:13" x14ac:dyDescent="0.3">
      <c r="A200" s="14">
        <v>184</v>
      </c>
      <c r="B200" s="14"/>
      <c r="C200" s="14"/>
      <c r="D200" s="14"/>
      <c r="E200" s="14"/>
      <c r="F200" s="14"/>
      <c r="G200" s="14"/>
      <c r="H200" s="14"/>
      <c r="I200" s="14"/>
      <c r="J200" s="16"/>
      <c r="K200" s="14">
        <f>Table1[[#This Row],[Complexity]]*$A$11+SUM(Table1[[#This Row],[Other 
Integration]:[OEM 
Integration]])*$C$11</f>
        <v>0</v>
      </c>
      <c r="L200" s="7"/>
      <c r="M200" s="7"/>
    </row>
    <row r="201" spans="1:13" x14ac:dyDescent="0.3">
      <c r="A201" s="14">
        <v>185</v>
      </c>
      <c r="B201" s="14"/>
      <c r="C201" s="14"/>
      <c r="D201" s="14"/>
      <c r="E201" s="14"/>
      <c r="F201" s="14"/>
      <c r="G201" s="14"/>
      <c r="H201" s="14"/>
      <c r="I201" s="14"/>
      <c r="J201" s="16"/>
      <c r="K201" s="14">
        <f>Table1[[#This Row],[Complexity]]*$A$11+SUM(Table1[[#This Row],[Other 
Integration]:[OEM 
Integration]])*$C$11</f>
        <v>0</v>
      </c>
      <c r="L201" s="7"/>
      <c r="M201" s="7"/>
    </row>
    <row r="202" spans="1:13" x14ac:dyDescent="0.3">
      <c r="A202" s="14">
        <v>186</v>
      </c>
      <c r="B202" s="14"/>
      <c r="C202" s="14"/>
      <c r="D202" s="14"/>
      <c r="E202" s="14"/>
      <c r="F202" s="14"/>
      <c r="G202" s="14"/>
      <c r="H202" s="14"/>
      <c r="I202" s="14"/>
      <c r="J202" s="16"/>
      <c r="K202" s="14">
        <f>Table1[[#This Row],[Complexity]]*$A$11+SUM(Table1[[#This Row],[Other 
Integration]:[OEM 
Integration]])*$C$11</f>
        <v>0</v>
      </c>
      <c r="L202" s="7"/>
      <c r="M202" s="7"/>
    </row>
    <row r="203" spans="1:13" x14ac:dyDescent="0.3">
      <c r="A203" s="14">
        <v>187</v>
      </c>
      <c r="B203" s="14"/>
      <c r="C203" s="14"/>
      <c r="D203" s="14"/>
      <c r="E203" s="14"/>
      <c r="F203" s="14"/>
      <c r="G203" s="14"/>
      <c r="H203" s="14"/>
      <c r="I203" s="14"/>
      <c r="J203" s="16"/>
      <c r="K203" s="14">
        <f>Table1[[#This Row],[Complexity]]*$A$11+SUM(Table1[[#This Row],[Other 
Integration]:[OEM 
Integration]])*$C$11</f>
        <v>0</v>
      </c>
      <c r="L203" s="7"/>
      <c r="M203" s="7"/>
    </row>
    <row r="204" spans="1:13" x14ac:dyDescent="0.3">
      <c r="A204" s="14">
        <v>188</v>
      </c>
      <c r="B204" s="14"/>
      <c r="C204" s="14"/>
      <c r="D204" s="14"/>
      <c r="E204" s="14"/>
      <c r="F204" s="14"/>
      <c r="G204" s="14"/>
      <c r="H204" s="14"/>
      <c r="I204" s="14"/>
      <c r="J204" s="16"/>
      <c r="K204" s="14">
        <f>Table1[[#This Row],[Complexity]]*$A$11+SUM(Table1[[#This Row],[Other 
Integration]:[OEM 
Integration]])*$C$11</f>
        <v>0</v>
      </c>
      <c r="L204" s="7"/>
      <c r="M204" s="7"/>
    </row>
    <row r="205" spans="1:13" x14ac:dyDescent="0.3">
      <c r="A205" s="14">
        <v>189</v>
      </c>
      <c r="B205" s="14"/>
      <c r="C205" s="14"/>
      <c r="D205" s="14"/>
      <c r="E205" s="14"/>
      <c r="F205" s="14"/>
      <c r="G205" s="14"/>
      <c r="H205" s="14"/>
      <c r="I205" s="14"/>
      <c r="J205" s="16"/>
      <c r="K205" s="14">
        <f>Table1[[#This Row],[Complexity]]*$A$11+SUM(Table1[[#This Row],[Other 
Integration]:[OEM 
Integration]])*$C$11</f>
        <v>0</v>
      </c>
      <c r="L205" s="7"/>
      <c r="M205" s="7"/>
    </row>
    <row r="206" spans="1:13" x14ac:dyDescent="0.3">
      <c r="A206" s="14">
        <v>190</v>
      </c>
      <c r="B206" s="14"/>
      <c r="C206" s="14"/>
      <c r="D206" s="14"/>
      <c r="E206" s="14"/>
      <c r="F206" s="14"/>
      <c r="G206" s="14"/>
      <c r="H206" s="14"/>
      <c r="I206" s="14"/>
      <c r="J206" s="16"/>
      <c r="K206" s="14">
        <f>Table1[[#This Row],[Complexity]]*$A$11+SUM(Table1[[#This Row],[Other 
Integration]:[OEM 
Integration]])*$C$11</f>
        <v>0</v>
      </c>
      <c r="L206" s="7"/>
      <c r="M206" s="7"/>
    </row>
    <row r="207" spans="1:13" x14ac:dyDescent="0.3">
      <c r="A207" s="14">
        <v>191</v>
      </c>
      <c r="B207" s="14"/>
      <c r="C207" s="14"/>
      <c r="D207" s="14"/>
      <c r="E207" s="14"/>
      <c r="F207" s="14"/>
      <c r="G207" s="14"/>
      <c r="H207" s="14"/>
      <c r="I207" s="14"/>
      <c r="J207" s="16"/>
      <c r="K207" s="14">
        <f>Table1[[#This Row],[Complexity]]*$A$11+SUM(Table1[[#This Row],[Other 
Integration]:[OEM 
Integration]])*$C$11</f>
        <v>0</v>
      </c>
      <c r="L207" s="7"/>
      <c r="M207" s="7"/>
    </row>
    <row r="208" spans="1:13" x14ac:dyDescent="0.3">
      <c r="A208" s="14">
        <v>192</v>
      </c>
      <c r="B208" s="14"/>
      <c r="C208" s="14"/>
      <c r="D208" s="14"/>
      <c r="E208" s="14"/>
      <c r="F208" s="14"/>
      <c r="G208" s="14"/>
      <c r="H208" s="14"/>
      <c r="I208" s="14"/>
      <c r="J208" s="16"/>
      <c r="K208" s="14">
        <f>Table1[[#This Row],[Complexity]]*$A$11+SUM(Table1[[#This Row],[Other 
Integration]:[OEM 
Integration]])*$C$11</f>
        <v>0</v>
      </c>
      <c r="L208" s="7"/>
      <c r="M208" s="7"/>
    </row>
    <row r="209" spans="1:13" x14ac:dyDescent="0.3">
      <c r="A209" s="14">
        <v>193</v>
      </c>
      <c r="B209" s="14"/>
      <c r="C209" s="14"/>
      <c r="D209" s="14"/>
      <c r="E209" s="14"/>
      <c r="F209" s="14"/>
      <c r="G209" s="14"/>
      <c r="H209" s="14"/>
      <c r="I209" s="14"/>
      <c r="J209" s="16"/>
      <c r="K209" s="14">
        <f>Table1[[#This Row],[Complexity]]*$A$11+SUM(Table1[[#This Row],[Other 
Integration]:[OEM 
Integration]])*$C$11</f>
        <v>0</v>
      </c>
      <c r="L209" s="7"/>
      <c r="M209" s="7"/>
    </row>
    <row r="210" spans="1:13" x14ac:dyDescent="0.3">
      <c r="A210" s="14">
        <v>194</v>
      </c>
      <c r="B210" s="14"/>
      <c r="C210" s="14"/>
      <c r="D210" s="14"/>
      <c r="E210" s="14"/>
      <c r="F210" s="14"/>
      <c r="G210" s="14"/>
      <c r="H210" s="14"/>
      <c r="I210" s="14"/>
      <c r="J210" s="16"/>
      <c r="K210" s="14">
        <f>Table1[[#This Row],[Complexity]]*$A$11+SUM(Table1[[#This Row],[Other 
Integration]:[OEM 
Integration]])*$C$11</f>
        <v>0</v>
      </c>
      <c r="L210" s="7"/>
      <c r="M210" s="7"/>
    </row>
    <row r="211" spans="1:13" x14ac:dyDescent="0.3">
      <c r="A211" s="14">
        <v>195</v>
      </c>
      <c r="B211" s="14"/>
      <c r="C211" s="14"/>
      <c r="D211" s="14"/>
      <c r="E211" s="14"/>
      <c r="F211" s="14"/>
      <c r="G211" s="14"/>
      <c r="H211" s="14"/>
      <c r="I211" s="14"/>
      <c r="J211" s="16"/>
      <c r="K211" s="14">
        <f>Table1[[#This Row],[Complexity]]*$A$11+SUM(Table1[[#This Row],[Other 
Integration]:[OEM 
Integration]])*$C$11</f>
        <v>0</v>
      </c>
      <c r="L211" s="7"/>
      <c r="M211" s="7"/>
    </row>
    <row r="212" spans="1:13" x14ac:dyDescent="0.3">
      <c r="A212" s="14">
        <v>196</v>
      </c>
      <c r="B212" s="14"/>
      <c r="C212" s="14"/>
      <c r="D212" s="14"/>
      <c r="E212" s="14"/>
      <c r="F212" s="14"/>
      <c r="G212" s="14"/>
      <c r="H212" s="14"/>
      <c r="I212" s="14"/>
      <c r="J212" s="16"/>
      <c r="K212" s="14">
        <f>Table1[[#This Row],[Complexity]]*$A$11+SUM(Table1[[#This Row],[Other 
Integration]:[OEM 
Integration]])*$C$11</f>
        <v>0</v>
      </c>
      <c r="L212" s="7"/>
      <c r="M212" s="7"/>
    </row>
    <row r="213" spans="1:13" x14ac:dyDescent="0.3">
      <c r="A213" s="14">
        <v>197</v>
      </c>
      <c r="B213" s="14"/>
      <c r="C213" s="14"/>
      <c r="D213" s="14"/>
      <c r="E213" s="14"/>
      <c r="F213" s="14"/>
      <c r="G213" s="14"/>
      <c r="H213" s="14"/>
      <c r="I213" s="14"/>
      <c r="J213" s="16"/>
      <c r="K213" s="14">
        <f>Table1[[#This Row],[Complexity]]*$A$11+SUM(Table1[[#This Row],[Other 
Integration]:[OEM 
Integration]])*$C$11</f>
        <v>0</v>
      </c>
      <c r="L213" s="7"/>
      <c r="M213" s="7"/>
    </row>
    <row r="214" spans="1:13" x14ac:dyDescent="0.3">
      <c r="A214" s="14">
        <v>198</v>
      </c>
      <c r="B214" s="14"/>
      <c r="C214" s="14"/>
      <c r="D214" s="14"/>
      <c r="E214" s="14"/>
      <c r="F214" s="14"/>
      <c r="G214" s="14"/>
      <c r="H214" s="14"/>
      <c r="I214" s="14"/>
      <c r="J214" s="16"/>
      <c r="K214" s="14">
        <f>Table1[[#This Row],[Complexity]]*$A$11+SUM(Table1[[#This Row],[Other 
Integration]:[OEM 
Integration]])*$C$11</f>
        <v>0</v>
      </c>
      <c r="L214" s="7"/>
      <c r="M214" s="7"/>
    </row>
    <row r="215" spans="1:13" x14ac:dyDescent="0.3">
      <c r="A215" s="14">
        <v>199</v>
      </c>
      <c r="B215" s="14"/>
      <c r="C215" s="14"/>
      <c r="D215" s="14"/>
      <c r="E215" s="14"/>
      <c r="F215" s="14"/>
      <c r="G215" s="14"/>
      <c r="H215" s="14"/>
      <c r="I215" s="14"/>
      <c r="J215" s="16"/>
      <c r="K215" s="14">
        <f>Table1[[#This Row],[Complexity]]*$A$11+SUM(Table1[[#This Row],[Other 
Integration]:[OEM 
Integration]])*$C$11</f>
        <v>0</v>
      </c>
      <c r="L215" s="7"/>
      <c r="M215" s="7"/>
    </row>
    <row r="216" spans="1:13" x14ac:dyDescent="0.3">
      <c r="A216" s="14">
        <v>200</v>
      </c>
      <c r="B216" s="14"/>
      <c r="C216" s="14"/>
      <c r="D216" s="14"/>
      <c r="E216" s="14"/>
      <c r="F216" s="14"/>
      <c r="G216" s="14"/>
      <c r="H216" s="14"/>
      <c r="I216" s="14"/>
      <c r="J216" s="16"/>
      <c r="K216" s="14">
        <f>Table1[[#This Row],[Complexity]]*$A$11+SUM(Table1[[#This Row],[Other 
Integration]:[OEM 
Integration]])*$C$11</f>
        <v>0</v>
      </c>
      <c r="L216" s="7"/>
      <c r="M216" s="7"/>
    </row>
    <row r="217" spans="1:13" x14ac:dyDescent="0.3">
      <c r="A217" s="14">
        <v>201</v>
      </c>
      <c r="B217" s="14"/>
      <c r="C217" s="14"/>
      <c r="D217" s="14"/>
      <c r="E217" s="14"/>
      <c r="F217" s="14"/>
      <c r="G217" s="14"/>
      <c r="H217" s="14"/>
      <c r="I217" s="14"/>
      <c r="J217" s="16"/>
      <c r="K217" s="14">
        <f>Table1[[#This Row],[Complexity]]*$A$11+SUM(Table1[[#This Row],[Other 
Integration]:[OEM 
Integration]])*$C$11</f>
        <v>0</v>
      </c>
      <c r="L217" s="7"/>
      <c r="M217" s="7"/>
    </row>
    <row r="218" spans="1:13" x14ac:dyDescent="0.3">
      <c r="A218" s="14">
        <v>202</v>
      </c>
      <c r="B218" s="14"/>
      <c r="C218" s="14"/>
      <c r="D218" s="14"/>
      <c r="E218" s="14"/>
      <c r="F218" s="14"/>
      <c r="G218" s="14"/>
      <c r="H218" s="14"/>
      <c r="I218" s="14"/>
      <c r="J218" s="16"/>
      <c r="K218" s="14">
        <f>Table1[[#This Row],[Complexity]]*$A$11+SUM(Table1[[#This Row],[Other 
Integration]:[OEM 
Integration]])*$C$11</f>
        <v>0</v>
      </c>
      <c r="L218" s="7"/>
      <c r="M218" s="7"/>
    </row>
    <row r="219" spans="1:13" x14ac:dyDescent="0.3">
      <c r="A219" s="14">
        <v>203</v>
      </c>
      <c r="B219" s="14"/>
      <c r="C219" s="14"/>
      <c r="D219" s="14"/>
      <c r="E219" s="14"/>
      <c r="F219" s="14"/>
      <c r="G219" s="14"/>
      <c r="H219" s="14"/>
      <c r="I219" s="14"/>
      <c r="J219" s="16"/>
      <c r="K219" s="14">
        <f>Table1[[#This Row],[Complexity]]*$A$11+SUM(Table1[[#This Row],[Other 
Integration]:[OEM 
Integration]])*$C$11</f>
        <v>0</v>
      </c>
      <c r="L219" s="7"/>
      <c r="M219" s="7"/>
    </row>
    <row r="220" spans="1:13" x14ac:dyDescent="0.3">
      <c r="A220" s="14">
        <v>204</v>
      </c>
      <c r="B220" s="14"/>
      <c r="C220" s="14"/>
      <c r="D220" s="14"/>
      <c r="E220" s="14"/>
      <c r="F220" s="14"/>
      <c r="G220" s="14"/>
      <c r="H220" s="14"/>
      <c r="I220" s="14"/>
      <c r="J220" s="16"/>
      <c r="K220" s="14">
        <f>Table1[[#This Row],[Complexity]]*$A$11+SUM(Table1[[#This Row],[Other 
Integration]:[OEM 
Integration]])*$C$11</f>
        <v>0</v>
      </c>
      <c r="L220" s="7"/>
      <c r="M220" s="7"/>
    </row>
    <row r="221" spans="1:13" x14ac:dyDescent="0.3">
      <c r="A221" s="14">
        <v>205</v>
      </c>
      <c r="B221" s="14"/>
      <c r="C221" s="14"/>
      <c r="D221" s="14"/>
      <c r="E221" s="14"/>
      <c r="F221" s="14"/>
      <c r="G221" s="14"/>
      <c r="H221" s="14"/>
      <c r="I221" s="14"/>
      <c r="J221" s="16"/>
      <c r="K221" s="14">
        <f>Table1[[#This Row],[Complexity]]*$A$11+SUM(Table1[[#This Row],[Other 
Integration]:[OEM 
Integration]])*$C$11</f>
        <v>0</v>
      </c>
      <c r="L221" s="7"/>
      <c r="M221" s="7"/>
    </row>
    <row r="222" spans="1:13" x14ac:dyDescent="0.3">
      <c r="A222" s="14">
        <v>206</v>
      </c>
      <c r="B222" s="14"/>
      <c r="C222" s="14"/>
      <c r="D222" s="14"/>
      <c r="E222" s="14"/>
      <c r="F222" s="14"/>
      <c r="G222" s="14"/>
      <c r="H222" s="14"/>
      <c r="I222" s="14"/>
      <c r="J222" s="16"/>
      <c r="K222" s="14">
        <f>Table1[[#This Row],[Complexity]]*$A$11+SUM(Table1[[#This Row],[Other 
Integration]:[OEM 
Integration]])*$C$11</f>
        <v>0</v>
      </c>
      <c r="L222" s="7"/>
      <c r="M222" s="7"/>
    </row>
    <row r="223" spans="1:13" x14ac:dyDescent="0.3">
      <c r="A223" s="14">
        <v>207</v>
      </c>
      <c r="B223" s="14"/>
      <c r="C223" s="14"/>
      <c r="D223" s="14"/>
      <c r="E223" s="14"/>
      <c r="F223" s="14"/>
      <c r="G223" s="14"/>
      <c r="H223" s="14"/>
      <c r="I223" s="14"/>
      <c r="J223" s="16"/>
      <c r="K223" s="14">
        <f>Table1[[#This Row],[Complexity]]*$A$11+SUM(Table1[[#This Row],[Other 
Integration]:[OEM 
Integration]])*$C$11</f>
        <v>0</v>
      </c>
      <c r="L223" s="7"/>
      <c r="M223" s="7"/>
    </row>
    <row r="224" spans="1:13" x14ac:dyDescent="0.3">
      <c r="A224" s="14">
        <v>208</v>
      </c>
      <c r="B224" s="14"/>
      <c r="C224" s="14"/>
      <c r="D224" s="14"/>
      <c r="E224" s="14"/>
      <c r="F224" s="14"/>
      <c r="G224" s="14"/>
      <c r="H224" s="14"/>
      <c r="I224" s="14"/>
      <c r="J224" s="16"/>
      <c r="K224" s="14">
        <f>Table1[[#This Row],[Complexity]]*$A$11+SUM(Table1[[#This Row],[Other 
Integration]:[OEM 
Integration]])*$C$11</f>
        <v>0</v>
      </c>
      <c r="L224" s="7"/>
      <c r="M224" s="7"/>
    </row>
    <row r="225" spans="1:13" x14ac:dyDescent="0.3">
      <c r="A225" s="14">
        <v>209</v>
      </c>
      <c r="B225" s="14"/>
      <c r="C225" s="14"/>
      <c r="D225" s="14"/>
      <c r="E225" s="14"/>
      <c r="F225" s="14"/>
      <c r="G225" s="14"/>
      <c r="H225" s="14"/>
      <c r="I225" s="14"/>
      <c r="J225" s="16"/>
      <c r="K225" s="14">
        <f>Table1[[#This Row],[Complexity]]*$A$11+SUM(Table1[[#This Row],[Other 
Integration]:[OEM 
Integration]])*$C$11</f>
        <v>0</v>
      </c>
      <c r="L225" s="7"/>
      <c r="M225" s="7"/>
    </row>
    <row r="226" spans="1:13" x14ac:dyDescent="0.3">
      <c r="A226" s="14">
        <v>210</v>
      </c>
      <c r="B226" s="14"/>
      <c r="C226" s="14"/>
      <c r="D226" s="14"/>
      <c r="E226" s="14"/>
      <c r="F226" s="14"/>
      <c r="G226" s="14"/>
      <c r="H226" s="14"/>
      <c r="I226" s="14"/>
      <c r="J226" s="16"/>
      <c r="K226" s="14">
        <f>Table1[[#This Row],[Complexity]]*$A$11+SUM(Table1[[#This Row],[Other 
Integration]:[OEM 
Integration]])*$C$11</f>
        <v>0</v>
      </c>
      <c r="L226" s="7"/>
      <c r="M226" s="7"/>
    </row>
    <row r="227" spans="1:13" x14ac:dyDescent="0.3">
      <c r="A227" s="14">
        <v>211</v>
      </c>
      <c r="B227" s="14"/>
      <c r="C227" s="14"/>
      <c r="D227" s="14"/>
      <c r="E227" s="14"/>
      <c r="F227" s="14"/>
      <c r="G227" s="14"/>
      <c r="H227" s="14"/>
      <c r="I227" s="14"/>
      <c r="J227" s="16"/>
      <c r="K227" s="14">
        <f>Table1[[#This Row],[Complexity]]*$A$11+SUM(Table1[[#This Row],[Other 
Integration]:[OEM 
Integration]])*$C$11</f>
        <v>0</v>
      </c>
      <c r="L227" s="7"/>
      <c r="M227" s="7"/>
    </row>
    <row r="228" spans="1:13" x14ac:dyDescent="0.3">
      <c r="A228" s="14">
        <v>212</v>
      </c>
      <c r="B228" s="14"/>
      <c r="C228" s="14"/>
      <c r="D228" s="14"/>
      <c r="E228" s="14"/>
      <c r="F228" s="14"/>
      <c r="G228" s="14"/>
      <c r="H228" s="14"/>
      <c r="I228" s="14"/>
      <c r="J228" s="16"/>
      <c r="K228" s="14">
        <f>Table1[[#This Row],[Complexity]]*$A$11+SUM(Table1[[#This Row],[Other 
Integration]:[OEM 
Integration]])*$C$11</f>
        <v>0</v>
      </c>
      <c r="L228" s="7"/>
      <c r="M228" s="7"/>
    </row>
    <row r="229" spans="1:13" x14ac:dyDescent="0.3">
      <c r="A229" s="14">
        <v>213</v>
      </c>
      <c r="B229" s="14"/>
      <c r="C229" s="14"/>
      <c r="D229" s="14"/>
      <c r="E229" s="14"/>
      <c r="F229" s="14"/>
      <c r="G229" s="14"/>
      <c r="H229" s="14"/>
      <c r="I229" s="14"/>
      <c r="J229" s="16"/>
      <c r="K229" s="14">
        <f>Table1[[#This Row],[Complexity]]*$A$11+SUM(Table1[[#This Row],[Other 
Integration]:[OEM 
Integration]])*$C$11</f>
        <v>0</v>
      </c>
      <c r="L229" s="7"/>
      <c r="M229" s="7"/>
    </row>
    <row r="230" spans="1:13" x14ac:dyDescent="0.3">
      <c r="A230" s="14">
        <v>214</v>
      </c>
      <c r="B230" s="14"/>
      <c r="C230" s="14"/>
      <c r="D230" s="14"/>
      <c r="E230" s="14"/>
      <c r="F230" s="14"/>
      <c r="G230" s="14"/>
      <c r="H230" s="14"/>
      <c r="I230" s="14"/>
      <c r="J230" s="16"/>
      <c r="K230" s="14">
        <f>Table1[[#This Row],[Complexity]]*$A$11+SUM(Table1[[#This Row],[Other 
Integration]:[OEM 
Integration]])*$C$11</f>
        <v>0</v>
      </c>
      <c r="L230" s="7"/>
      <c r="M230" s="7"/>
    </row>
    <row r="231" spans="1:13" x14ac:dyDescent="0.3">
      <c r="A231" s="14">
        <v>215</v>
      </c>
      <c r="B231" s="14"/>
      <c r="C231" s="14"/>
      <c r="D231" s="14"/>
      <c r="E231" s="14"/>
      <c r="F231" s="14"/>
      <c r="G231" s="14"/>
      <c r="H231" s="14"/>
      <c r="I231" s="14"/>
      <c r="J231" s="16"/>
      <c r="K231" s="14">
        <f>Table1[[#This Row],[Complexity]]*$A$11+SUM(Table1[[#This Row],[Other 
Integration]:[OEM 
Integration]])*$C$11</f>
        <v>0</v>
      </c>
      <c r="L231" s="7"/>
      <c r="M231" s="7"/>
    </row>
    <row r="232" spans="1:13" x14ac:dyDescent="0.3">
      <c r="A232" s="14">
        <v>216</v>
      </c>
      <c r="B232" s="14"/>
      <c r="C232" s="14"/>
      <c r="D232" s="14"/>
      <c r="E232" s="14"/>
      <c r="F232" s="14"/>
      <c r="G232" s="14"/>
      <c r="H232" s="14"/>
      <c r="I232" s="14"/>
      <c r="J232" s="16"/>
      <c r="K232" s="14">
        <f>Table1[[#This Row],[Complexity]]*$A$11+SUM(Table1[[#This Row],[Other 
Integration]:[OEM 
Integration]])*$C$11</f>
        <v>0</v>
      </c>
      <c r="L232" s="7"/>
      <c r="M232" s="7"/>
    </row>
    <row r="233" spans="1:13" x14ac:dyDescent="0.3">
      <c r="A233" s="14">
        <v>217</v>
      </c>
      <c r="B233" s="14"/>
      <c r="C233" s="14"/>
      <c r="D233" s="14"/>
      <c r="E233" s="14"/>
      <c r="F233" s="14"/>
      <c r="G233" s="14"/>
      <c r="H233" s="14"/>
      <c r="I233" s="14"/>
      <c r="J233" s="16"/>
      <c r="K233" s="14">
        <f>Table1[[#This Row],[Complexity]]*$A$11+SUM(Table1[[#This Row],[Other 
Integration]:[OEM 
Integration]])*$C$11</f>
        <v>0</v>
      </c>
      <c r="L233" s="7"/>
      <c r="M233" s="7"/>
    </row>
    <row r="234" spans="1:13" x14ac:dyDescent="0.3">
      <c r="A234" s="14">
        <v>218</v>
      </c>
      <c r="B234" s="14"/>
      <c r="C234" s="14"/>
      <c r="D234" s="14"/>
      <c r="E234" s="14"/>
      <c r="F234" s="14"/>
      <c r="G234" s="14"/>
      <c r="H234" s="14"/>
      <c r="I234" s="14"/>
      <c r="J234" s="16"/>
      <c r="K234" s="14">
        <f>Table1[[#This Row],[Complexity]]*$A$11+SUM(Table1[[#This Row],[Other 
Integration]:[OEM 
Integration]])*$C$11</f>
        <v>0</v>
      </c>
      <c r="L234" s="7"/>
      <c r="M234" s="7"/>
    </row>
    <row r="235" spans="1:13" x14ac:dyDescent="0.3">
      <c r="A235" s="14">
        <v>219</v>
      </c>
      <c r="B235" s="14"/>
      <c r="C235" s="14"/>
      <c r="D235" s="14"/>
      <c r="E235" s="14"/>
      <c r="F235" s="14"/>
      <c r="G235" s="14"/>
      <c r="H235" s="14"/>
      <c r="I235" s="14"/>
      <c r="J235" s="16"/>
      <c r="K235" s="14">
        <f>Table1[[#This Row],[Complexity]]*$A$11+SUM(Table1[[#This Row],[Other 
Integration]:[OEM 
Integration]])*$C$11</f>
        <v>0</v>
      </c>
      <c r="L235" s="7"/>
      <c r="M235" s="7"/>
    </row>
    <row r="236" spans="1:13" x14ac:dyDescent="0.3">
      <c r="A236" s="14">
        <v>220</v>
      </c>
      <c r="B236" s="14"/>
      <c r="C236" s="14"/>
      <c r="D236" s="14"/>
      <c r="E236" s="14"/>
      <c r="F236" s="14"/>
      <c r="G236" s="14"/>
      <c r="H236" s="14"/>
      <c r="I236" s="14"/>
      <c r="J236" s="16"/>
      <c r="K236" s="14">
        <f>Table1[[#This Row],[Complexity]]*$A$11+SUM(Table1[[#This Row],[Other 
Integration]:[OEM 
Integration]])*$C$11</f>
        <v>0</v>
      </c>
      <c r="L236" s="7"/>
      <c r="M236" s="7"/>
    </row>
    <row r="237" spans="1:13" x14ac:dyDescent="0.3">
      <c r="A237" s="14">
        <v>221</v>
      </c>
      <c r="B237" s="14"/>
      <c r="C237" s="14"/>
      <c r="D237" s="14"/>
      <c r="E237" s="14"/>
      <c r="F237" s="14"/>
      <c r="G237" s="14"/>
      <c r="H237" s="14"/>
      <c r="I237" s="14"/>
      <c r="J237" s="16"/>
      <c r="K237" s="14">
        <f>Table1[[#This Row],[Complexity]]*$A$11+SUM(Table1[[#This Row],[Other 
Integration]:[OEM 
Integration]])*$C$11</f>
        <v>0</v>
      </c>
      <c r="L237" s="7"/>
      <c r="M237" s="7"/>
    </row>
    <row r="238" spans="1:13" x14ac:dyDescent="0.3">
      <c r="A238" s="14">
        <v>222</v>
      </c>
      <c r="B238" s="14"/>
      <c r="C238" s="14"/>
      <c r="D238" s="14"/>
      <c r="E238" s="14"/>
      <c r="F238" s="14"/>
      <c r="G238" s="14"/>
      <c r="H238" s="14"/>
      <c r="I238" s="14"/>
      <c r="J238" s="16"/>
      <c r="K238" s="14">
        <f>Table1[[#This Row],[Complexity]]*$A$11+SUM(Table1[[#This Row],[Other 
Integration]:[OEM 
Integration]])*$C$11</f>
        <v>0</v>
      </c>
      <c r="L238" s="7"/>
      <c r="M238" s="7"/>
    </row>
    <row r="239" spans="1:13" x14ac:dyDescent="0.3">
      <c r="A239" s="14">
        <v>223</v>
      </c>
      <c r="B239" s="14"/>
      <c r="C239" s="14"/>
      <c r="D239" s="14"/>
      <c r="E239" s="14"/>
      <c r="F239" s="14"/>
      <c r="G239" s="14"/>
      <c r="H239" s="14"/>
      <c r="I239" s="14"/>
      <c r="J239" s="16"/>
      <c r="K239" s="14">
        <f>Table1[[#This Row],[Complexity]]*$A$11+SUM(Table1[[#This Row],[Other 
Integration]:[OEM 
Integration]])*$C$11</f>
        <v>0</v>
      </c>
      <c r="L239" s="7"/>
      <c r="M239" s="7"/>
    </row>
    <row r="240" spans="1:13" x14ac:dyDescent="0.3">
      <c r="A240" s="14">
        <v>224</v>
      </c>
      <c r="B240" s="14"/>
      <c r="C240" s="14"/>
      <c r="D240" s="14"/>
      <c r="E240" s="14"/>
      <c r="F240" s="14"/>
      <c r="G240" s="14"/>
      <c r="H240" s="14"/>
      <c r="I240" s="14"/>
      <c r="J240" s="16"/>
      <c r="K240" s="14">
        <f>Table1[[#This Row],[Complexity]]*$A$11+SUM(Table1[[#This Row],[Other 
Integration]:[OEM 
Integration]])*$C$11</f>
        <v>0</v>
      </c>
      <c r="L240" s="7"/>
      <c r="M240" s="7"/>
    </row>
    <row r="241" spans="1:13" x14ac:dyDescent="0.3">
      <c r="A241" s="14">
        <v>225</v>
      </c>
      <c r="B241" s="14"/>
      <c r="C241" s="14"/>
      <c r="D241" s="14"/>
      <c r="E241" s="14"/>
      <c r="F241" s="14"/>
      <c r="G241" s="14"/>
      <c r="H241" s="14"/>
      <c r="I241" s="14"/>
      <c r="J241" s="16"/>
      <c r="K241" s="14">
        <f>Table1[[#This Row],[Complexity]]*$A$11+SUM(Table1[[#This Row],[Other 
Integration]:[OEM 
Integration]])*$C$11</f>
        <v>0</v>
      </c>
      <c r="L241" s="7"/>
      <c r="M241" s="7"/>
    </row>
    <row r="242" spans="1:13" x14ac:dyDescent="0.3">
      <c r="A242" s="14">
        <v>226</v>
      </c>
      <c r="B242" s="14"/>
      <c r="C242" s="14"/>
      <c r="D242" s="14"/>
      <c r="E242" s="14"/>
      <c r="F242" s="14"/>
      <c r="G242" s="14"/>
      <c r="H242" s="14"/>
      <c r="I242" s="14"/>
      <c r="J242" s="16"/>
      <c r="K242" s="14">
        <f>Table1[[#This Row],[Complexity]]*$A$11+SUM(Table1[[#This Row],[Other 
Integration]:[OEM 
Integration]])*$C$11</f>
        <v>0</v>
      </c>
      <c r="L242" s="7"/>
      <c r="M242" s="7"/>
    </row>
    <row r="243" spans="1:13" x14ac:dyDescent="0.3">
      <c r="A243" s="14">
        <v>227</v>
      </c>
      <c r="B243" s="14"/>
      <c r="C243" s="14"/>
      <c r="D243" s="14"/>
      <c r="E243" s="14"/>
      <c r="F243" s="14"/>
      <c r="G243" s="14"/>
      <c r="H243" s="14"/>
      <c r="I243" s="14"/>
      <c r="J243" s="16"/>
      <c r="K243" s="14">
        <f>Table1[[#This Row],[Complexity]]*$A$11+SUM(Table1[[#This Row],[Other 
Integration]:[OEM 
Integration]])*$C$11</f>
        <v>0</v>
      </c>
      <c r="L243" s="7"/>
      <c r="M243" s="7"/>
    </row>
    <row r="244" spans="1:13" x14ac:dyDescent="0.3">
      <c r="A244" s="14">
        <v>228</v>
      </c>
      <c r="B244" s="14"/>
      <c r="C244" s="14"/>
      <c r="D244" s="14"/>
      <c r="E244" s="14"/>
      <c r="F244" s="14"/>
      <c r="G244" s="14"/>
      <c r="H244" s="14"/>
      <c r="I244" s="14"/>
      <c r="J244" s="16"/>
      <c r="K244" s="14">
        <f>Table1[[#This Row],[Complexity]]*$A$11+SUM(Table1[[#This Row],[Other 
Integration]:[OEM 
Integration]])*$C$11</f>
        <v>0</v>
      </c>
      <c r="L244" s="7"/>
      <c r="M244" s="7"/>
    </row>
    <row r="245" spans="1:13" x14ac:dyDescent="0.3">
      <c r="A245" s="14">
        <v>229</v>
      </c>
      <c r="B245" s="14"/>
      <c r="C245" s="14"/>
      <c r="D245" s="14"/>
      <c r="E245" s="14"/>
      <c r="F245" s="14"/>
      <c r="G245" s="14"/>
      <c r="H245" s="14"/>
      <c r="I245" s="14"/>
      <c r="J245" s="16"/>
      <c r="K245" s="14">
        <f>Table1[[#This Row],[Complexity]]*$A$11+SUM(Table1[[#This Row],[Other 
Integration]:[OEM 
Integration]])*$C$11</f>
        <v>0</v>
      </c>
      <c r="L245" s="7"/>
      <c r="M245" s="7"/>
    </row>
    <row r="246" spans="1:13" x14ac:dyDescent="0.3">
      <c r="A246" s="14">
        <v>230</v>
      </c>
      <c r="B246" s="14"/>
      <c r="C246" s="14"/>
      <c r="D246" s="14"/>
      <c r="E246" s="14"/>
      <c r="F246" s="14"/>
      <c r="G246" s="14"/>
      <c r="H246" s="14"/>
      <c r="I246" s="14"/>
      <c r="J246" s="16"/>
      <c r="K246" s="14">
        <f>Table1[[#This Row],[Complexity]]*$A$11+SUM(Table1[[#This Row],[Other 
Integration]:[OEM 
Integration]])*$C$11</f>
        <v>0</v>
      </c>
      <c r="L246" s="7"/>
      <c r="M246" s="7"/>
    </row>
    <row r="247" spans="1:13" x14ac:dyDescent="0.3">
      <c r="A247" s="14">
        <v>231</v>
      </c>
      <c r="B247" s="14"/>
      <c r="C247" s="14"/>
      <c r="D247" s="14"/>
      <c r="E247" s="14"/>
      <c r="F247" s="14"/>
      <c r="G247" s="14"/>
      <c r="H247" s="14"/>
      <c r="I247" s="14"/>
      <c r="J247" s="16"/>
      <c r="K247" s="14">
        <f>Table1[[#This Row],[Complexity]]*$A$11+SUM(Table1[[#This Row],[Other 
Integration]:[OEM 
Integration]])*$C$11</f>
        <v>0</v>
      </c>
      <c r="L247" s="7"/>
      <c r="M247" s="7"/>
    </row>
    <row r="248" spans="1:13" x14ac:dyDescent="0.3">
      <c r="A248" s="14">
        <v>232</v>
      </c>
      <c r="B248" s="14"/>
      <c r="C248" s="14"/>
      <c r="D248" s="14"/>
      <c r="E248" s="14"/>
      <c r="F248" s="14"/>
      <c r="G248" s="14"/>
      <c r="H248" s="14"/>
      <c r="I248" s="14"/>
      <c r="J248" s="16"/>
      <c r="K248" s="14">
        <f>Table1[[#This Row],[Complexity]]*$A$11+SUM(Table1[[#This Row],[Other 
Integration]:[OEM 
Integration]])*$C$11</f>
        <v>0</v>
      </c>
      <c r="L248" s="7"/>
      <c r="M248" s="7"/>
    </row>
    <row r="249" spans="1:13" x14ac:dyDescent="0.3">
      <c r="A249" s="14">
        <v>233</v>
      </c>
      <c r="B249" s="14"/>
      <c r="C249" s="14"/>
      <c r="D249" s="14"/>
      <c r="E249" s="14"/>
      <c r="F249" s="14"/>
      <c r="G249" s="14"/>
      <c r="H249" s="14"/>
      <c r="I249" s="14"/>
      <c r="J249" s="16"/>
      <c r="K249" s="14">
        <f>Table1[[#This Row],[Complexity]]*$A$11+SUM(Table1[[#This Row],[Other 
Integration]:[OEM 
Integration]])*$C$11</f>
        <v>0</v>
      </c>
      <c r="L249" s="7"/>
      <c r="M249" s="7"/>
    </row>
    <row r="250" spans="1:13" x14ac:dyDescent="0.3">
      <c r="A250" s="14">
        <v>234</v>
      </c>
      <c r="B250" s="14"/>
      <c r="C250" s="14"/>
      <c r="D250" s="14"/>
      <c r="E250" s="14"/>
      <c r="F250" s="14"/>
      <c r="G250" s="14"/>
      <c r="H250" s="14"/>
      <c r="I250" s="14"/>
      <c r="J250" s="16"/>
      <c r="K250" s="14">
        <f>Table1[[#This Row],[Complexity]]*$A$11+SUM(Table1[[#This Row],[Other 
Integration]:[OEM 
Integration]])*$C$11</f>
        <v>0</v>
      </c>
      <c r="L250" s="7"/>
      <c r="M250" s="7"/>
    </row>
    <row r="251" spans="1:13" x14ac:dyDescent="0.3">
      <c r="A251" s="14">
        <v>235</v>
      </c>
      <c r="B251" s="14"/>
      <c r="C251" s="14"/>
      <c r="D251" s="14"/>
      <c r="E251" s="14"/>
      <c r="F251" s="14"/>
      <c r="G251" s="14"/>
      <c r="H251" s="14"/>
      <c r="I251" s="14"/>
      <c r="J251" s="16"/>
      <c r="K251" s="14">
        <f>Table1[[#This Row],[Complexity]]*$A$11+SUM(Table1[[#This Row],[Other 
Integration]:[OEM 
Integration]])*$C$11</f>
        <v>0</v>
      </c>
      <c r="L251" s="7"/>
      <c r="M251" s="7"/>
    </row>
    <row r="252" spans="1:13" x14ac:dyDescent="0.3">
      <c r="A252" s="14">
        <v>236</v>
      </c>
      <c r="B252" s="14"/>
      <c r="C252" s="14"/>
      <c r="D252" s="14"/>
      <c r="E252" s="14"/>
      <c r="F252" s="14"/>
      <c r="G252" s="14"/>
      <c r="H252" s="14"/>
      <c r="I252" s="14"/>
      <c r="J252" s="16"/>
      <c r="K252" s="14">
        <f>Table1[[#This Row],[Complexity]]*$A$11+SUM(Table1[[#This Row],[Other 
Integration]:[OEM 
Integration]])*$C$11</f>
        <v>0</v>
      </c>
      <c r="L252" s="7"/>
      <c r="M252" s="7"/>
    </row>
    <row r="253" spans="1:13" x14ac:dyDescent="0.3">
      <c r="A253" s="14">
        <v>237</v>
      </c>
      <c r="B253" s="14"/>
      <c r="C253" s="14"/>
      <c r="D253" s="14"/>
      <c r="E253" s="14"/>
      <c r="F253" s="14"/>
      <c r="G253" s="14"/>
      <c r="H253" s="14"/>
      <c r="I253" s="14"/>
      <c r="J253" s="16"/>
      <c r="K253" s="14">
        <f>Table1[[#This Row],[Complexity]]*$A$11+SUM(Table1[[#This Row],[Other 
Integration]:[OEM 
Integration]])*$C$11</f>
        <v>0</v>
      </c>
      <c r="L253" s="7"/>
      <c r="M253" s="7"/>
    </row>
    <row r="254" spans="1:13" x14ac:dyDescent="0.3">
      <c r="A254" s="14">
        <v>238</v>
      </c>
      <c r="B254" s="14"/>
      <c r="C254" s="14"/>
      <c r="D254" s="14"/>
      <c r="E254" s="14"/>
      <c r="F254" s="14"/>
      <c r="G254" s="14"/>
      <c r="H254" s="14"/>
      <c r="I254" s="14"/>
      <c r="J254" s="16"/>
      <c r="K254" s="14">
        <f>Table1[[#This Row],[Complexity]]*$A$11+SUM(Table1[[#This Row],[Other 
Integration]:[OEM 
Integration]])*$C$11</f>
        <v>0</v>
      </c>
      <c r="L254" s="7"/>
      <c r="M254" s="7"/>
    </row>
    <row r="255" spans="1:13" x14ac:dyDescent="0.3">
      <c r="A255" s="14">
        <v>239</v>
      </c>
      <c r="B255" s="14"/>
      <c r="C255" s="14"/>
      <c r="D255" s="14"/>
      <c r="E255" s="14"/>
      <c r="F255" s="14"/>
      <c r="G255" s="14"/>
      <c r="H255" s="14"/>
      <c r="I255" s="14"/>
      <c r="J255" s="16"/>
      <c r="K255" s="14">
        <f>Table1[[#This Row],[Complexity]]*$A$11+SUM(Table1[[#This Row],[Other 
Integration]:[OEM 
Integration]])*$C$11</f>
        <v>0</v>
      </c>
      <c r="L255" s="7"/>
      <c r="M255" s="7"/>
    </row>
    <row r="256" spans="1:13" x14ac:dyDescent="0.3">
      <c r="A256" s="14">
        <v>240</v>
      </c>
      <c r="B256" s="14"/>
      <c r="C256" s="14"/>
      <c r="D256" s="14"/>
      <c r="E256" s="14"/>
      <c r="F256" s="14"/>
      <c r="G256" s="14"/>
      <c r="H256" s="14"/>
      <c r="I256" s="14"/>
      <c r="J256" s="16"/>
      <c r="K256" s="14">
        <f>Table1[[#This Row],[Complexity]]*$A$11+SUM(Table1[[#This Row],[Other 
Integration]:[OEM 
Integration]])*$C$11</f>
        <v>0</v>
      </c>
      <c r="L256" s="7"/>
      <c r="M256" s="7"/>
    </row>
    <row r="257" spans="1:13" x14ac:dyDescent="0.3">
      <c r="A257" s="14">
        <v>241</v>
      </c>
      <c r="B257" s="14"/>
      <c r="C257" s="14"/>
      <c r="D257" s="14"/>
      <c r="E257" s="14"/>
      <c r="F257" s="14"/>
      <c r="G257" s="14"/>
      <c r="H257" s="14"/>
      <c r="I257" s="14"/>
      <c r="J257" s="16"/>
      <c r="K257" s="14">
        <f>Table1[[#This Row],[Complexity]]*$A$11+SUM(Table1[[#This Row],[Other 
Integration]:[OEM 
Integration]])*$C$11</f>
        <v>0</v>
      </c>
      <c r="L257" s="7"/>
      <c r="M257" s="7"/>
    </row>
    <row r="258" spans="1:13" x14ac:dyDescent="0.3">
      <c r="A258" s="14">
        <v>242</v>
      </c>
      <c r="B258" s="14"/>
      <c r="C258" s="14"/>
      <c r="D258" s="14"/>
      <c r="E258" s="14"/>
      <c r="F258" s="14"/>
      <c r="G258" s="14"/>
      <c r="H258" s="14"/>
      <c r="I258" s="14"/>
      <c r="J258" s="16"/>
      <c r="K258" s="14">
        <f>Table1[[#This Row],[Complexity]]*$A$11+SUM(Table1[[#This Row],[Other 
Integration]:[OEM 
Integration]])*$C$11</f>
        <v>0</v>
      </c>
      <c r="L258" s="7"/>
      <c r="M258" s="7"/>
    </row>
    <row r="259" spans="1:13" x14ac:dyDescent="0.3">
      <c r="A259" s="14">
        <v>243</v>
      </c>
      <c r="B259" s="14"/>
      <c r="C259" s="14"/>
      <c r="D259" s="14"/>
      <c r="E259" s="14"/>
      <c r="F259" s="14"/>
      <c r="G259" s="14"/>
      <c r="H259" s="14"/>
      <c r="I259" s="14"/>
      <c r="J259" s="16"/>
      <c r="K259" s="14">
        <f>Table1[[#This Row],[Complexity]]*$A$11+SUM(Table1[[#This Row],[Other 
Integration]:[OEM 
Integration]])*$C$11</f>
        <v>0</v>
      </c>
      <c r="L259" s="7"/>
      <c r="M259" s="7"/>
    </row>
    <row r="260" spans="1:13" x14ac:dyDescent="0.3">
      <c r="A260" s="14">
        <v>244</v>
      </c>
      <c r="B260" s="14"/>
      <c r="C260" s="14"/>
      <c r="D260" s="14"/>
      <c r="E260" s="14"/>
      <c r="F260" s="14"/>
      <c r="G260" s="14"/>
      <c r="H260" s="14"/>
      <c r="I260" s="14"/>
      <c r="J260" s="16"/>
      <c r="K260" s="14">
        <f>Table1[[#This Row],[Complexity]]*$A$11+SUM(Table1[[#This Row],[Other 
Integration]:[OEM 
Integration]])*$C$11</f>
        <v>0</v>
      </c>
      <c r="L260" s="7"/>
      <c r="M260" s="7"/>
    </row>
    <row r="261" spans="1:13" x14ac:dyDescent="0.3">
      <c r="A261" s="14">
        <v>245</v>
      </c>
      <c r="B261" s="14"/>
      <c r="C261" s="14"/>
      <c r="D261" s="14"/>
      <c r="E261" s="14"/>
      <c r="F261" s="14"/>
      <c r="G261" s="14"/>
      <c r="H261" s="14"/>
      <c r="I261" s="14"/>
      <c r="J261" s="16"/>
      <c r="K261" s="14">
        <f>Table1[[#This Row],[Complexity]]*$A$11+SUM(Table1[[#This Row],[Other 
Integration]:[OEM 
Integration]])*$C$11</f>
        <v>0</v>
      </c>
      <c r="L261" s="7"/>
      <c r="M261" s="7"/>
    </row>
    <row r="262" spans="1:13" x14ac:dyDescent="0.3">
      <c r="A262" s="14">
        <v>246</v>
      </c>
      <c r="B262" s="14"/>
      <c r="C262" s="14"/>
      <c r="D262" s="14"/>
      <c r="E262" s="14"/>
      <c r="F262" s="14"/>
      <c r="G262" s="14"/>
      <c r="H262" s="14"/>
      <c r="I262" s="14"/>
      <c r="J262" s="16"/>
      <c r="K262" s="14">
        <f>Table1[[#This Row],[Complexity]]*$A$11+SUM(Table1[[#This Row],[Other 
Integration]:[OEM 
Integration]])*$C$11</f>
        <v>0</v>
      </c>
      <c r="L262" s="7"/>
      <c r="M262" s="7"/>
    </row>
    <row r="263" spans="1:13" x14ac:dyDescent="0.3">
      <c r="A263" s="14">
        <v>247</v>
      </c>
      <c r="B263" s="14"/>
      <c r="C263" s="14"/>
      <c r="D263" s="14"/>
      <c r="E263" s="14"/>
      <c r="F263" s="14"/>
      <c r="G263" s="14"/>
      <c r="H263" s="14"/>
      <c r="I263" s="14"/>
      <c r="J263" s="16"/>
      <c r="K263" s="14">
        <f>Table1[[#This Row],[Complexity]]*$A$11+SUM(Table1[[#This Row],[Other 
Integration]:[OEM 
Integration]])*$C$11</f>
        <v>0</v>
      </c>
      <c r="L263" s="7"/>
      <c r="M263" s="7"/>
    </row>
    <row r="264" spans="1:13" x14ac:dyDescent="0.3">
      <c r="A264" s="14">
        <v>248</v>
      </c>
      <c r="B264" s="14"/>
      <c r="C264" s="14"/>
      <c r="D264" s="14"/>
      <c r="E264" s="14"/>
      <c r="F264" s="14"/>
      <c r="G264" s="14"/>
      <c r="H264" s="14"/>
      <c r="I264" s="14"/>
      <c r="J264" s="16"/>
      <c r="K264" s="14">
        <f>Table1[[#This Row],[Complexity]]*$A$11+SUM(Table1[[#This Row],[Other 
Integration]:[OEM 
Integration]])*$C$11</f>
        <v>0</v>
      </c>
      <c r="L264" s="7"/>
      <c r="M264" s="7"/>
    </row>
    <row r="265" spans="1:13" x14ac:dyDescent="0.3">
      <c r="A265" s="14">
        <v>249</v>
      </c>
      <c r="B265" s="14"/>
      <c r="C265" s="14"/>
      <c r="D265" s="14"/>
      <c r="E265" s="14"/>
      <c r="F265" s="14"/>
      <c r="G265" s="14"/>
      <c r="H265" s="14"/>
      <c r="I265" s="14"/>
      <c r="J265" s="16"/>
      <c r="K265" s="14">
        <f>Table1[[#This Row],[Complexity]]*$A$11+SUM(Table1[[#This Row],[Other 
Integration]:[OEM 
Integration]])*$C$11</f>
        <v>0</v>
      </c>
      <c r="L265" s="7"/>
      <c r="M265" s="7"/>
    </row>
    <row r="266" spans="1:13" x14ac:dyDescent="0.3">
      <c r="A266" s="14">
        <v>250</v>
      </c>
      <c r="B266" s="14"/>
      <c r="C266" s="14"/>
      <c r="D266" s="14"/>
      <c r="E266" s="14"/>
      <c r="F266" s="14"/>
      <c r="G266" s="14"/>
      <c r="H266" s="14"/>
      <c r="I266" s="14"/>
      <c r="J266" s="16"/>
      <c r="K266" s="14">
        <f>Table1[[#This Row],[Complexity]]*$A$11+SUM(Table1[[#This Row],[Other 
Integration]:[OEM 
Integration]])*$C$11</f>
        <v>0</v>
      </c>
      <c r="L266" s="7"/>
      <c r="M266" s="7"/>
    </row>
    <row r="267" spans="1:13" x14ac:dyDescent="0.3">
      <c r="A267" s="14">
        <v>251</v>
      </c>
      <c r="B267" s="14"/>
      <c r="C267" s="14"/>
      <c r="D267" s="14"/>
      <c r="E267" s="14"/>
      <c r="F267" s="14"/>
      <c r="G267" s="14"/>
      <c r="H267" s="14"/>
      <c r="I267" s="14"/>
      <c r="J267" s="16"/>
      <c r="K267" s="14">
        <f>Table1[[#This Row],[Complexity]]*$A$11+SUM(Table1[[#This Row],[Other 
Integration]:[OEM 
Integration]])*$C$11</f>
        <v>0</v>
      </c>
      <c r="L267" s="7"/>
      <c r="M267" s="7"/>
    </row>
    <row r="268" spans="1:13" x14ac:dyDescent="0.3">
      <c r="A268" s="14">
        <v>252</v>
      </c>
      <c r="B268" s="14"/>
      <c r="C268" s="14"/>
      <c r="D268" s="14"/>
      <c r="E268" s="14"/>
      <c r="F268" s="14"/>
      <c r="G268" s="14"/>
      <c r="H268" s="14"/>
      <c r="I268" s="14"/>
      <c r="J268" s="16"/>
      <c r="K268" s="14">
        <f>Table1[[#This Row],[Complexity]]*$A$11+SUM(Table1[[#This Row],[Other 
Integration]:[OEM 
Integration]])*$C$11</f>
        <v>0</v>
      </c>
      <c r="L268" s="7"/>
      <c r="M268" s="7"/>
    </row>
    <row r="269" spans="1:13" x14ac:dyDescent="0.3">
      <c r="A269" s="14">
        <v>253</v>
      </c>
      <c r="B269" s="14"/>
      <c r="C269" s="14"/>
      <c r="D269" s="14"/>
      <c r="E269" s="14"/>
      <c r="F269" s="14"/>
      <c r="G269" s="14"/>
      <c r="H269" s="14"/>
      <c r="I269" s="14"/>
      <c r="J269" s="16"/>
      <c r="K269" s="14">
        <f>Table1[[#This Row],[Complexity]]*$A$11+SUM(Table1[[#This Row],[Other 
Integration]:[OEM 
Integration]])*$C$11</f>
        <v>0</v>
      </c>
      <c r="L269" s="7"/>
      <c r="M269" s="7"/>
    </row>
    <row r="270" spans="1:13" x14ac:dyDescent="0.3">
      <c r="A270" s="14">
        <v>254</v>
      </c>
      <c r="B270" s="14"/>
      <c r="C270" s="14"/>
      <c r="D270" s="14"/>
      <c r="E270" s="14"/>
      <c r="F270" s="14"/>
      <c r="G270" s="14"/>
      <c r="H270" s="14"/>
      <c r="I270" s="14"/>
      <c r="J270" s="16"/>
      <c r="K270" s="14">
        <f>Table1[[#This Row],[Complexity]]*$A$11+SUM(Table1[[#This Row],[Other 
Integration]:[OEM 
Integration]])*$C$11</f>
        <v>0</v>
      </c>
      <c r="L270" s="7"/>
      <c r="M270" s="7"/>
    </row>
    <row r="271" spans="1:13" x14ac:dyDescent="0.3">
      <c r="A271" s="14">
        <v>255</v>
      </c>
      <c r="B271" s="14"/>
      <c r="C271" s="14"/>
      <c r="D271" s="14"/>
      <c r="E271" s="14"/>
      <c r="F271" s="14"/>
      <c r="G271" s="14"/>
      <c r="H271" s="14"/>
      <c r="I271" s="14"/>
      <c r="J271" s="16"/>
      <c r="K271" s="14">
        <f>Table1[[#This Row],[Complexity]]*$A$11+SUM(Table1[[#This Row],[Other 
Integration]:[OEM 
Integration]])*$C$11</f>
        <v>0</v>
      </c>
      <c r="L271" s="7"/>
      <c r="M271" s="7"/>
    </row>
    <row r="272" spans="1:13" x14ac:dyDescent="0.3">
      <c r="A272" s="14">
        <v>256</v>
      </c>
      <c r="B272" s="14"/>
      <c r="C272" s="14"/>
      <c r="D272" s="14"/>
      <c r="E272" s="14"/>
      <c r="F272" s="14"/>
      <c r="G272" s="14"/>
      <c r="H272" s="14"/>
      <c r="I272" s="14"/>
      <c r="J272" s="16"/>
      <c r="K272" s="14">
        <f>Table1[[#This Row],[Complexity]]*$A$11+SUM(Table1[[#This Row],[Other 
Integration]:[OEM 
Integration]])*$C$11</f>
        <v>0</v>
      </c>
      <c r="L272" s="7"/>
      <c r="M272" s="7"/>
    </row>
    <row r="273" spans="1:13" x14ac:dyDescent="0.3">
      <c r="A273" s="14">
        <v>257</v>
      </c>
      <c r="B273" s="14"/>
      <c r="C273" s="14"/>
      <c r="D273" s="14"/>
      <c r="E273" s="14"/>
      <c r="F273" s="14"/>
      <c r="G273" s="14"/>
      <c r="H273" s="14"/>
      <c r="I273" s="14"/>
      <c r="J273" s="16"/>
      <c r="K273" s="14">
        <f>Table1[[#This Row],[Complexity]]*$A$11+SUM(Table1[[#This Row],[Other 
Integration]:[OEM 
Integration]])*$C$11</f>
        <v>0</v>
      </c>
      <c r="L273" s="7"/>
      <c r="M273" s="7"/>
    </row>
    <row r="274" spans="1:13" x14ac:dyDescent="0.3">
      <c r="A274" s="14">
        <v>258</v>
      </c>
      <c r="B274" s="14"/>
      <c r="C274" s="14"/>
      <c r="D274" s="14"/>
      <c r="E274" s="14"/>
      <c r="F274" s="14"/>
      <c r="G274" s="14"/>
      <c r="H274" s="14"/>
      <c r="I274" s="14"/>
      <c r="J274" s="16"/>
      <c r="K274" s="14">
        <f>Table1[[#This Row],[Complexity]]*$A$11+SUM(Table1[[#This Row],[Other 
Integration]:[OEM 
Integration]])*$C$11</f>
        <v>0</v>
      </c>
      <c r="L274" s="7"/>
      <c r="M274" s="7"/>
    </row>
    <row r="275" spans="1:13" x14ac:dyDescent="0.3">
      <c r="A275" s="14">
        <v>259</v>
      </c>
      <c r="B275" s="14"/>
      <c r="C275" s="14"/>
      <c r="D275" s="14"/>
      <c r="E275" s="14"/>
      <c r="F275" s="14"/>
      <c r="G275" s="14"/>
      <c r="H275" s="14"/>
      <c r="I275" s="14"/>
      <c r="J275" s="16"/>
      <c r="K275" s="14">
        <f>Table1[[#This Row],[Complexity]]*$A$11+SUM(Table1[[#This Row],[Other 
Integration]:[OEM 
Integration]])*$C$11</f>
        <v>0</v>
      </c>
      <c r="L275" s="7"/>
      <c r="M275" s="7"/>
    </row>
    <row r="276" spans="1:13" x14ac:dyDescent="0.3">
      <c r="A276" s="14">
        <v>260</v>
      </c>
      <c r="B276" s="14"/>
      <c r="C276" s="14"/>
      <c r="D276" s="14"/>
      <c r="E276" s="14"/>
      <c r="F276" s="14"/>
      <c r="G276" s="14"/>
      <c r="H276" s="14"/>
      <c r="I276" s="14"/>
      <c r="J276" s="16"/>
      <c r="K276" s="14">
        <f>Table1[[#This Row],[Complexity]]*$A$11+SUM(Table1[[#This Row],[Other 
Integration]:[OEM 
Integration]])*$C$11</f>
        <v>0</v>
      </c>
      <c r="L276" s="7"/>
      <c r="M276" s="7"/>
    </row>
    <row r="277" spans="1:13" x14ac:dyDescent="0.3">
      <c r="A277" s="14">
        <v>261</v>
      </c>
      <c r="B277" s="14"/>
      <c r="C277" s="14"/>
      <c r="D277" s="14"/>
      <c r="E277" s="14"/>
      <c r="F277" s="14"/>
      <c r="G277" s="14"/>
      <c r="H277" s="14"/>
      <c r="I277" s="14"/>
      <c r="J277" s="16"/>
      <c r="K277" s="14">
        <f>Table1[[#This Row],[Complexity]]*$A$11+SUM(Table1[[#This Row],[Other 
Integration]:[OEM 
Integration]])*$C$11</f>
        <v>0</v>
      </c>
      <c r="L277" s="7"/>
      <c r="M277" s="7"/>
    </row>
    <row r="278" spans="1:13" x14ac:dyDescent="0.3">
      <c r="A278" s="14">
        <v>262</v>
      </c>
      <c r="B278" s="14"/>
      <c r="C278" s="14"/>
      <c r="D278" s="14"/>
      <c r="E278" s="14"/>
      <c r="F278" s="14"/>
      <c r="G278" s="14"/>
      <c r="H278" s="14"/>
      <c r="I278" s="14"/>
      <c r="J278" s="16"/>
      <c r="K278" s="14">
        <f>Table1[[#This Row],[Complexity]]*$A$11+SUM(Table1[[#This Row],[Other 
Integration]:[OEM 
Integration]])*$C$11</f>
        <v>0</v>
      </c>
      <c r="L278" s="7"/>
      <c r="M278" s="7"/>
    </row>
    <row r="279" spans="1:13" x14ac:dyDescent="0.3">
      <c r="A279" s="14">
        <v>263</v>
      </c>
      <c r="B279" s="14"/>
      <c r="C279" s="14"/>
      <c r="D279" s="14"/>
      <c r="E279" s="14"/>
      <c r="F279" s="14"/>
      <c r="G279" s="14"/>
      <c r="H279" s="14"/>
      <c r="I279" s="14"/>
      <c r="J279" s="16"/>
      <c r="K279" s="14">
        <f>Table1[[#This Row],[Complexity]]*$A$11+SUM(Table1[[#This Row],[Other 
Integration]:[OEM 
Integration]])*$C$11</f>
        <v>0</v>
      </c>
      <c r="L279" s="7"/>
      <c r="M279" s="7"/>
    </row>
    <row r="280" spans="1:13" x14ac:dyDescent="0.3">
      <c r="A280" s="14">
        <v>264</v>
      </c>
      <c r="B280" s="14"/>
      <c r="C280" s="14"/>
      <c r="D280" s="14"/>
      <c r="E280" s="14"/>
      <c r="F280" s="14"/>
      <c r="G280" s="14"/>
      <c r="H280" s="14"/>
      <c r="I280" s="14"/>
      <c r="J280" s="16"/>
      <c r="K280" s="14">
        <f>Table1[[#This Row],[Complexity]]*$A$11+SUM(Table1[[#This Row],[Other 
Integration]:[OEM 
Integration]])*$C$11</f>
        <v>0</v>
      </c>
      <c r="L280" s="7"/>
      <c r="M280" s="7"/>
    </row>
    <row r="281" spans="1:13" x14ac:dyDescent="0.3">
      <c r="A281" s="14">
        <v>265</v>
      </c>
      <c r="B281" s="14"/>
      <c r="C281" s="14"/>
      <c r="D281" s="14"/>
      <c r="E281" s="14"/>
      <c r="F281" s="14"/>
      <c r="G281" s="14"/>
      <c r="H281" s="14"/>
      <c r="I281" s="14"/>
      <c r="J281" s="16"/>
      <c r="K281" s="14">
        <f>Table1[[#This Row],[Complexity]]*$A$11+SUM(Table1[[#This Row],[Other 
Integration]:[OEM 
Integration]])*$C$11</f>
        <v>0</v>
      </c>
      <c r="L281" s="7"/>
      <c r="M281" s="7"/>
    </row>
    <row r="282" spans="1:13" x14ac:dyDescent="0.3">
      <c r="A282" s="14">
        <v>266</v>
      </c>
      <c r="B282" s="14"/>
      <c r="C282" s="14"/>
      <c r="D282" s="14"/>
      <c r="E282" s="14"/>
      <c r="F282" s="14"/>
      <c r="G282" s="14"/>
      <c r="H282" s="14"/>
      <c r="I282" s="14"/>
      <c r="J282" s="16"/>
      <c r="K282" s="14">
        <f>Table1[[#This Row],[Complexity]]*$A$11+SUM(Table1[[#This Row],[Other 
Integration]:[OEM 
Integration]])*$C$11</f>
        <v>0</v>
      </c>
      <c r="L282" s="7"/>
      <c r="M282" s="7"/>
    </row>
    <row r="283" spans="1:13" x14ac:dyDescent="0.3">
      <c r="A283" s="14">
        <v>267</v>
      </c>
      <c r="B283" s="14"/>
      <c r="C283" s="14"/>
      <c r="D283" s="14"/>
      <c r="E283" s="14"/>
      <c r="F283" s="14"/>
      <c r="G283" s="14"/>
      <c r="H283" s="14"/>
      <c r="I283" s="14"/>
      <c r="J283" s="16"/>
      <c r="K283" s="14">
        <f>Table1[[#This Row],[Complexity]]*$A$11+SUM(Table1[[#This Row],[Other 
Integration]:[OEM 
Integration]])*$C$11</f>
        <v>0</v>
      </c>
      <c r="L283" s="7"/>
      <c r="M283" s="7"/>
    </row>
    <row r="284" spans="1:13" x14ac:dyDescent="0.3">
      <c r="A284" s="14">
        <v>268</v>
      </c>
      <c r="B284" s="14"/>
      <c r="C284" s="14"/>
      <c r="D284" s="14"/>
      <c r="E284" s="14"/>
      <c r="F284" s="14"/>
      <c r="G284" s="14"/>
      <c r="H284" s="14"/>
      <c r="I284" s="14"/>
      <c r="J284" s="16"/>
      <c r="K284" s="14">
        <f>Table1[[#This Row],[Complexity]]*$A$11+SUM(Table1[[#This Row],[Other 
Integration]:[OEM 
Integration]])*$C$11</f>
        <v>0</v>
      </c>
      <c r="L284" s="7"/>
      <c r="M284" s="7"/>
    </row>
    <row r="285" spans="1:13" x14ac:dyDescent="0.3">
      <c r="A285" s="14">
        <v>269</v>
      </c>
      <c r="B285" s="14"/>
      <c r="C285" s="14"/>
      <c r="D285" s="14"/>
      <c r="E285" s="14"/>
      <c r="F285" s="14"/>
      <c r="G285" s="14"/>
      <c r="H285" s="14"/>
      <c r="I285" s="14"/>
      <c r="J285" s="16"/>
      <c r="K285" s="14">
        <f>Table1[[#This Row],[Complexity]]*$A$11+SUM(Table1[[#This Row],[Other 
Integration]:[OEM 
Integration]])*$C$11</f>
        <v>0</v>
      </c>
      <c r="L285" s="7"/>
      <c r="M285" s="7"/>
    </row>
    <row r="286" spans="1:13" x14ac:dyDescent="0.3">
      <c r="A286" s="14">
        <v>270</v>
      </c>
      <c r="B286" s="14"/>
      <c r="C286" s="14"/>
      <c r="D286" s="14"/>
      <c r="E286" s="14"/>
      <c r="F286" s="14"/>
      <c r="G286" s="14"/>
      <c r="H286" s="14"/>
      <c r="I286" s="14"/>
      <c r="J286" s="16"/>
      <c r="K286" s="14">
        <f>Table1[[#This Row],[Complexity]]*$A$11+SUM(Table1[[#This Row],[Other 
Integration]:[OEM 
Integration]])*$C$11</f>
        <v>0</v>
      </c>
      <c r="L286" s="7"/>
      <c r="M286" s="7"/>
    </row>
    <row r="287" spans="1:13" x14ac:dyDescent="0.3">
      <c r="A287" s="14">
        <v>271</v>
      </c>
      <c r="B287" s="14"/>
      <c r="C287" s="14"/>
      <c r="D287" s="14"/>
      <c r="E287" s="14"/>
      <c r="F287" s="14"/>
      <c r="G287" s="14"/>
      <c r="H287" s="14"/>
      <c r="I287" s="14"/>
      <c r="J287" s="16"/>
      <c r="K287" s="14">
        <f>Table1[[#This Row],[Complexity]]*$A$11+SUM(Table1[[#This Row],[Other 
Integration]:[OEM 
Integration]])*$C$11</f>
        <v>0</v>
      </c>
      <c r="L287" s="7"/>
      <c r="M287" s="7"/>
    </row>
    <row r="288" spans="1:13" x14ac:dyDescent="0.3">
      <c r="A288" s="14">
        <v>272</v>
      </c>
      <c r="B288" s="14"/>
      <c r="C288" s="14"/>
      <c r="D288" s="14"/>
      <c r="E288" s="14"/>
      <c r="F288" s="14"/>
      <c r="G288" s="14"/>
      <c r="H288" s="14"/>
      <c r="I288" s="14"/>
      <c r="J288" s="16"/>
      <c r="K288" s="14">
        <f>Table1[[#This Row],[Complexity]]*$A$11+SUM(Table1[[#This Row],[Other 
Integration]:[OEM 
Integration]])*$C$11</f>
        <v>0</v>
      </c>
      <c r="L288" s="7"/>
      <c r="M288" s="7"/>
    </row>
    <row r="289" spans="1:13" x14ac:dyDescent="0.3">
      <c r="A289" s="14">
        <v>273</v>
      </c>
      <c r="B289" s="14"/>
      <c r="C289" s="14"/>
      <c r="D289" s="14"/>
      <c r="E289" s="14"/>
      <c r="F289" s="14"/>
      <c r="G289" s="14"/>
      <c r="H289" s="14"/>
      <c r="I289" s="14"/>
      <c r="J289" s="16"/>
      <c r="K289" s="14">
        <f>Table1[[#This Row],[Complexity]]*$A$11+SUM(Table1[[#This Row],[Other 
Integration]:[OEM 
Integration]])*$C$11</f>
        <v>0</v>
      </c>
      <c r="L289" s="7"/>
      <c r="M289" s="7"/>
    </row>
    <row r="290" spans="1:13" x14ac:dyDescent="0.3">
      <c r="A290" s="14">
        <v>274</v>
      </c>
      <c r="B290" s="14"/>
      <c r="C290" s="14"/>
      <c r="D290" s="14"/>
      <c r="E290" s="14"/>
      <c r="F290" s="14"/>
      <c r="G290" s="14"/>
      <c r="H290" s="14"/>
      <c r="I290" s="14"/>
      <c r="J290" s="16"/>
      <c r="K290" s="14">
        <f>Table1[[#This Row],[Complexity]]*$A$11+SUM(Table1[[#This Row],[Other 
Integration]:[OEM 
Integration]])*$C$11</f>
        <v>0</v>
      </c>
      <c r="L290" s="7"/>
      <c r="M290" s="7"/>
    </row>
    <row r="291" spans="1:13" x14ac:dyDescent="0.3">
      <c r="A291" s="14">
        <v>275</v>
      </c>
      <c r="B291" s="14"/>
      <c r="C291" s="14"/>
      <c r="D291" s="14"/>
      <c r="E291" s="14"/>
      <c r="F291" s="14"/>
      <c r="G291" s="14"/>
      <c r="H291" s="14"/>
      <c r="I291" s="14"/>
      <c r="J291" s="16"/>
      <c r="K291" s="14">
        <f>Table1[[#This Row],[Complexity]]*$A$11+SUM(Table1[[#This Row],[Other 
Integration]:[OEM 
Integration]])*$C$11</f>
        <v>0</v>
      </c>
      <c r="L291" s="7"/>
      <c r="M291" s="7"/>
    </row>
    <row r="292" spans="1:13" x14ac:dyDescent="0.3">
      <c r="A292" s="14">
        <v>276</v>
      </c>
      <c r="B292" s="14"/>
      <c r="C292" s="14"/>
      <c r="D292" s="14"/>
      <c r="E292" s="14"/>
      <c r="F292" s="14"/>
      <c r="G292" s="14"/>
      <c r="H292" s="14"/>
      <c r="I292" s="14"/>
      <c r="J292" s="16"/>
      <c r="K292" s="14">
        <f>Table1[[#This Row],[Complexity]]*$A$11+SUM(Table1[[#This Row],[Other 
Integration]:[OEM 
Integration]])*$C$11</f>
        <v>0</v>
      </c>
      <c r="L292" s="7"/>
      <c r="M292" s="7"/>
    </row>
    <row r="293" spans="1:13" x14ac:dyDescent="0.3">
      <c r="A293" s="14">
        <v>277</v>
      </c>
      <c r="B293" s="14"/>
      <c r="C293" s="14"/>
      <c r="D293" s="14"/>
      <c r="E293" s="14"/>
      <c r="F293" s="14"/>
      <c r="G293" s="14"/>
      <c r="H293" s="14"/>
      <c r="I293" s="14"/>
      <c r="J293" s="16"/>
      <c r="K293" s="14">
        <f>Table1[[#This Row],[Complexity]]*$A$11+SUM(Table1[[#This Row],[Other 
Integration]:[OEM 
Integration]])*$C$11</f>
        <v>0</v>
      </c>
      <c r="L293" s="7"/>
      <c r="M293" s="7"/>
    </row>
    <row r="294" spans="1:13" x14ac:dyDescent="0.3">
      <c r="A294" s="14">
        <v>278</v>
      </c>
      <c r="B294" s="14"/>
      <c r="C294" s="14"/>
      <c r="D294" s="14"/>
      <c r="E294" s="14"/>
      <c r="F294" s="14"/>
      <c r="G294" s="14"/>
      <c r="H294" s="14"/>
      <c r="I294" s="14"/>
      <c r="J294" s="16"/>
      <c r="K294" s="14">
        <f>Table1[[#This Row],[Complexity]]*$A$11+SUM(Table1[[#This Row],[Other 
Integration]:[OEM 
Integration]])*$C$11</f>
        <v>0</v>
      </c>
      <c r="L294" s="7"/>
      <c r="M294" s="7"/>
    </row>
    <row r="295" spans="1:13" x14ac:dyDescent="0.3">
      <c r="A295" s="14">
        <v>279</v>
      </c>
      <c r="B295" s="14"/>
      <c r="C295" s="14"/>
      <c r="D295" s="14"/>
      <c r="E295" s="14"/>
      <c r="F295" s="14"/>
      <c r="G295" s="14"/>
      <c r="H295" s="14"/>
      <c r="I295" s="14"/>
      <c r="J295" s="16"/>
      <c r="K295" s="14">
        <f>Table1[[#This Row],[Complexity]]*$A$11+SUM(Table1[[#This Row],[Other 
Integration]:[OEM 
Integration]])*$C$11</f>
        <v>0</v>
      </c>
      <c r="L295" s="7"/>
      <c r="M295" s="7"/>
    </row>
    <row r="296" spans="1:13" x14ac:dyDescent="0.3">
      <c r="A296" s="14">
        <v>280</v>
      </c>
      <c r="B296" s="14"/>
      <c r="C296" s="14"/>
      <c r="D296" s="14"/>
      <c r="E296" s="14"/>
      <c r="F296" s="14"/>
      <c r="G296" s="14"/>
      <c r="H296" s="14"/>
      <c r="I296" s="14"/>
      <c r="J296" s="16"/>
      <c r="K296" s="14">
        <f>Table1[[#This Row],[Complexity]]*$A$11+SUM(Table1[[#This Row],[Other 
Integration]:[OEM 
Integration]])*$C$11</f>
        <v>0</v>
      </c>
      <c r="L296" s="7"/>
      <c r="M296" s="7"/>
    </row>
    <row r="297" spans="1:13" x14ac:dyDescent="0.3">
      <c r="A297" s="14">
        <v>281</v>
      </c>
      <c r="B297" s="14"/>
      <c r="C297" s="14"/>
      <c r="D297" s="14"/>
      <c r="E297" s="14"/>
      <c r="F297" s="14"/>
      <c r="G297" s="14"/>
      <c r="H297" s="14"/>
      <c r="I297" s="14"/>
      <c r="J297" s="16"/>
      <c r="K297" s="14">
        <f>Table1[[#This Row],[Complexity]]*$A$11+SUM(Table1[[#This Row],[Other 
Integration]:[OEM 
Integration]])*$C$11</f>
        <v>0</v>
      </c>
      <c r="L297" s="7"/>
      <c r="M297" s="7"/>
    </row>
    <row r="298" spans="1:13" x14ac:dyDescent="0.3">
      <c r="A298" s="14">
        <v>282</v>
      </c>
      <c r="B298" s="14"/>
      <c r="C298" s="14"/>
      <c r="D298" s="14"/>
      <c r="E298" s="14"/>
      <c r="F298" s="14"/>
      <c r="G298" s="14"/>
      <c r="H298" s="14"/>
      <c r="I298" s="14"/>
      <c r="J298" s="16"/>
      <c r="K298" s="14">
        <f>Table1[[#This Row],[Complexity]]*$A$11+SUM(Table1[[#This Row],[Other 
Integration]:[OEM 
Integration]])*$C$11</f>
        <v>0</v>
      </c>
      <c r="L298" s="7"/>
      <c r="M298" s="7"/>
    </row>
    <row r="299" spans="1:13" x14ac:dyDescent="0.3">
      <c r="A299" s="14">
        <v>283</v>
      </c>
      <c r="B299" s="14"/>
      <c r="C299" s="14"/>
      <c r="D299" s="14"/>
      <c r="E299" s="14"/>
      <c r="F299" s="14"/>
      <c r="G299" s="14"/>
      <c r="H299" s="14"/>
      <c r="I299" s="14"/>
      <c r="J299" s="16"/>
      <c r="K299" s="14">
        <f>Table1[[#This Row],[Complexity]]*$A$11+SUM(Table1[[#This Row],[Other 
Integration]:[OEM 
Integration]])*$C$11</f>
        <v>0</v>
      </c>
      <c r="L299" s="7"/>
      <c r="M299" s="7"/>
    </row>
    <row r="300" spans="1:13" x14ac:dyDescent="0.3">
      <c r="A300" s="14">
        <v>284</v>
      </c>
      <c r="B300" s="14"/>
      <c r="C300" s="14"/>
      <c r="D300" s="14"/>
      <c r="E300" s="14"/>
      <c r="F300" s="14"/>
      <c r="G300" s="14"/>
      <c r="H300" s="14"/>
      <c r="I300" s="14"/>
      <c r="J300" s="16"/>
      <c r="K300" s="14">
        <f>Table1[[#This Row],[Complexity]]*$A$11+SUM(Table1[[#This Row],[Other 
Integration]:[OEM 
Integration]])*$C$11</f>
        <v>0</v>
      </c>
      <c r="L300" s="7"/>
      <c r="M300" s="7"/>
    </row>
    <row r="301" spans="1:13" x14ac:dyDescent="0.3">
      <c r="A301" s="14">
        <v>285</v>
      </c>
      <c r="B301" s="14"/>
      <c r="C301" s="14"/>
      <c r="D301" s="14"/>
      <c r="E301" s="14"/>
      <c r="F301" s="14"/>
      <c r="G301" s="14"/>
      <c r="H301" s="14"/>
      <c r="I301" s="14"/>
      <c r="J301" s="16"/>
      <c r="K301" s="14">
        <f>Table1[[#This Row],[Complexity]]*$A$11+SUM(Table1[[#This Row],[Other 
Integration]:[OEM 
Integration]])*$C$11</f>
        <v>0</v>
      </c>
      <c r="L301" s="7"/>
      <c r="M301" s="7"/>
    </row>
    <row r="302" spans="1:13" x14ac:dyDescent="0.3">
      <c r="A302" s="14">
        <v>286</v>
      </c>
      <c r="B302" s="14"/>
      <c r="C302" s="14"/>
      <c r="D302" s="14"/>
      <c r="E302" s="14"/>
      <c r="F302" s="14"/>
      <c r="G302" s="14"/>
      <c r="H302" s="14"/>
      <c r="I302" s="14"/>
      <c r="J302" s="16"/>
      <c r="K302" s="14">
        <f>Table1[[#This Row],[Complexity]]*$A$11+SUM(Table1[[#This Row],[Other 
Integration]:[OEM 
Integration]])*$C$11</f>
        <v>0</v>
      </c>
      <c r="L302" s="7"/>
      <c r="M302" s="7"/>
    </row>
    <row r="303" spans="1:13" x14ac:dyDescent="0.3">
      <c r="A303" s="14">
        <v>287</v>
      </c>
      <c r="B303" s="14"/>
      <c r="C303" s="14"/>
      <c r="D303" s="14"/>
      <c r="E303" s="14"/>
      <c r="F303" s="14"/>
      <c r="G303" s="14"/>
      <c r="H303" s="14"/>
      <c r="I303" s="14"/>
      <c r="J303" s="16"/>
      <c r="K303" s="14">
        <f>Table1[[#This Row],[Complexity]]*$A$11+SUM(Table1[[#This Row],[Other 
Integration]:[OEM 
Integration]])*$C$11</f>
        <v>0</v>
      </c>
      <c r="L303" s="7"/>
      <c r="M303" s="7"/>
    </row>
    <row r="304" spans="1:13" x14ac:dyDescent="0.3">
      <c r="A304" s="14">
        <v>288</v>
      </c>
      <c r="B304" s="14"/>
      <c r="C304" s="14"/>
      <c r="D304" s="14"/>
      <c r="E304" s="14"/>
      <c r="F304" s="14"/>
      <c r="G304" s="14"/>
      <c r="H304" s="14"/>
      <c r="I304" s="14"/>
      <c r="J304" s="16"/>
      <c r="K304" s="14">
        <f>Table1[[#This Row],[Complexity]]*$A$11+SUM(Table1[[#This Row],[Other 
Integration]:[OEM 
Integration]])*$C$11</f>
        <v>0</v>
      </c>
      <c r="L304" s="7"/>
      <c r="M304" s="7"/>
    </row>
    <row r="305" spans="1:13" x14ac:dyDescent="0.3">
      <c r="A305" s="14">
        <v>289</v>
      </c>
      <c r="B305" s="14"/>
      <c r="C305" s="14"/>
      <c r="D305" s="14"/>
      <c r="E305" s="14"/>
      <c r="F305" s="14"/>
      <c r="G305" s="14"/>
      <c r="H305" s="14"/>
      <c r="I305" s="14"/>
      <c r="J305" s="16"/>
      <c r="K305" s="14">
        <f>Table1[[#This Row],[Complexity]]*$A$11+SUM(Table1[[#This Row],[Other 
Integration]:[OEM 
Integration]])*$C$11</f>
        <v>0</v>
      </c>
      <c r="L305" s="7"/>
      <c r="M305" s="7"/>
    </row>
    <row r="306" spans="1:13" x14ac:dyDescent="0.3">
      <c r="A306" s="14">
        <v>290</v>
      </c>
      <c r="B306" s="14"/>
      <c r="C306" s="14"/>
      <c r="D306" s="14"/>
      <c r="E306" s="14"/>
      <c r="F306" s="14"/>
      <c r="G306" s="14"/>
      <c r="H306" s="14"/>
      <c r="I306" s="14"/>
      <c r="J306" s="16"/>
      <c r="K306" s="14">
        <f>Table1[[#This Row],[Complexity]]*$A$11+SUM(Table1[[#This Row],[Other 
Integration]:[OEM 
Integration]])*$C$11</f>
        <v>0</v>
      </c>
      <c r="L306" s="7"/>
      <c r="M306" s="7"/>
    </row>
    <row r="307" spans="1:13" x14ac:dyDescent="0.3">
      <c r="A307" s="14">
        <v>291</v>
      </c>
      <c r="B307" s="14"/>
      <c r="C307" s="14"/>
      <c r="D307" s="14"/>
      <c r="E307" s="14"/>
      <c r="F307" s="14"/>
      <c r="G307" s="14"/>
      <c r="H307" s="14"/>
      <c r="I307" s="14"/>
      <c r="J307" s="16"/>
      <c r="K307" s="14">
        <f>Table1[[#This Row],[Complexity]]*$A$11+SUM(Table1[[#This Row],[Other 
Integration]:[OEM 
Integration]])*$C$11</f>
        <v>0</v>
      </c>
      <c r="L307" s="7"/>
      <c r="M307" s="7"/>
    </row>
    <row r="308" spans="1:13" x14ac:dyDescent="0.3">
      <c r="A308" s="14">
        <v>292</v>
      </c>
      <c r="B308" s="14"/>
      <c r="C308" s="14"/>
      <c r="D308" s="14"/>
      <c r="E308" s="14"/>
      <c r="F308" s="14"/>
      <c r="G308" s="14"/>
      <c r="H308" s="14"/>
      <c r="I308" s="14"/>
      <c r="J308" s="16"/>
      <c r="K308" s="14">
        <f>Table1[[#This Row],[Complexity]]*$A$11+SUM(Table1[[#This Row],[Other 
Integration]:[OEM 
Integration]])*$C$11</f>
        <v>0</v>
      </c>
      <c r="L308" s="7"/>
      <c r="M308" s="7"/>
    </row>
    <row r="309" spans="1:13" x14ac:dyDescent="0.3">
      <c r="A309" s="14">
        <v>293</v>
      </c>
      <c r="B309" s="14"/>
      <c r="C309" s="14"/>
      <c r="D309" s="14"/>
      <c r="E309" s="14"/>
      <c r="F309" s="14"/>
      <c r="G309" s="14"/>
      <c r="H309" s="14"/>
      <c r="I309" s="14"/>
      <c r="J309" s="16"/>
      <c r="K309" s="14">
        <f>Table1[[#This Row],[Complexity]]*$A$11+SUM(Table1[[#This Row],[Other 
Integration]:[OEM 
Integration]])*$C$11</f>
        <v>0</v>
      </c>
      <c r="L309" s="7"/>
      <c r="M309" s="7"/>
    </row>
    <row r="310" spans="1:13" x14ac:dyDescent="0.3">
      <c r="A310" s="14">
        <v>294</v>
      </c>
      <c r="B310" s="14"/>
      <c r="C310" s="14"/>
      <c r="D310" s="14"/>
      <c r="E310" s="14"/>
      <c r="F310" s="14"/>
      <c r="G310" s="14"/>
      <c r="H310" s="14"/>
      <c r="I310" s="14"/>
      <c r="J310" s="16"/>
      <c r="K310" s="14">
        <f>Table1[[#This Row],[Complexity]]*$A$11+SUM(Table1[[#This Row],[Other 
Integration]:[OEM 
Integration]])*$C$11</f>
        <v>0</v>
      </c>
      <c r="L310" s="7"/>
      <c r="M310" s="7"/>
    </row>
    <row r="311" spans="1:13" x14ac:dyDescent="0.3">
      <c r="A311" s="14">
        <v>295</v>
      </c>
      <c r="B311" s="14"/>
      <c r="C311" s="14"/>
      <c r="D311" s="14"/>
      <c r="E311" s="14"/>
      <c r="F311" s="14"/>
      <c r="G311" s="14"/>
      <c r="H311" s="14"/>
      <c r="I311" s="14"/>
      <c r="J311" s="16"/>
      <c r="K311" s="14">
        <f>Table1[[#This Row],[Complexity]]*$A$11+SUM(Table1[[#This Row],[Other 
Integration]:[OEM 
Integration]])*$C$11</f>
        <v>0</v>
      </c>
      <c r="L311" s="7"/>
      <c r="M311" s="7"/>
    </row>
    <row r="312" spans="1:13" x14ac:dyDescent="0.3">
      <c r="A312" s="14">
        <v>296</v>
      </c>
      <c r="B312" s="14"/>
      <c r="C312" s="14"/>
      <c r="D312" s="14"/>
      <c r="E312" s="14"/>
      <c r="F312" s="14"/>
      <c r="G312" s="14"/>
      <c r="H312" s="14"/>
      <c r="I312" s="14"/>
      <c r="J312" s="16"/>
      <c r="K312" s="14">
        <f>Table1[[#This Row],[Complexity]]*$A$11+SUM(Table1[[#This Row],[Other 
Integration]:[OEM 
Integration]])*$C$11</f>
        <v>0</v>
      </c>
      <c r="L312" s="7"/>
      <c r="M312" s="7"/>
    </row>
    <row r="313" spans="1:13" x14ac:dyDescent="0.3">
      <c r="A313" s="14">
        <v>297</v>
      </c>
      <c r="B313" s="14"/>
      <c r="C313" s="14"/>
      <c r="D313" s="14"/>
      <c r="E313" s="14"/>
      <c r="F313" s="14"/>
      <c r="G313" s="14"/>
      <c r="H313" s="14"/>
      <c r="I313" s="14"/>
      <c r="J313" s="16"/>
      <c r="K313" s="14">
        <f>Table1[[#This Row],[Complexity]]*$A$11+SUM(Table1[[#This Row],[Other 
Integration]:[OEM 
Integration]])*$C$11</f>
        <v>0</v>
      </c>
      <c r="L313" s="7"/>
      <c r="M313" s="7"/>
    </row>
    <row r="314" spans="1:13" x14ac:dyDescent="0.3">
      <c r="A314" s="14">
        <v>298</v>
      </c>
      <c r="B314" s="14"/>
      <c r="C314" s="14"/>
      <c r="D314" s="14"/>
      <c r="E314" s="14"/>
      <c r="F314" s="14"/>
      <c r="G314" s="14"/>
      <c r="H314" s="14"/>
      <c r="I314" s="14"/>
      <c r="J314" s="16"/>
      <c r="K314" s="14">
        <f>Table1[[#This Row],[Complexity]]*$A$11+SUM(Table1[[#This Row],[Other 
Integration]:[OEM 
Integration]])*$C$11</f>
        <v>0</v>
      </c>
      <c r="L314" s="7"/>
      <c r="M314" s="7"/>
    </row>
    <row r="315" spans="1:13" x14ac:dyDescent="0.3">
      <c r="A315" s="14">
        <v>299</v>
      </c>
      <c r="B315" s="14"/>
      <c r="C315" s="14"/>
      <c r="D315" s="14"/>
      <c r="E315" s="14"/>
      <c r="F315" s="14"/>
      <c r="G315" s="14"/>
      <c r="H315" s="14"/>
      <c r="I315" s="14"/>
      <c r="J315" s="16"/>
      <c r="K315" s="14">
        <f>Table1[[#This Row],[Complexity]]*$A$11+SUM(Table1[[#This Row],[Other 
Integration]:[OEM 
Integration]])*$C$11</f>
        <v>0</v>
      </c>
      <c r="L315" s="7"/>
      <c r="M315" s="7"/>
    </row>
    <row r="316" spans="1:13" x14ac:dyDescent="0.3">
      <c r="A316" s="14">
        <v>300</v>
      </c>
      <c r="B316" s="14"/>
      <c r="C316" s="14"/>
      <c r="D316" s="14"/>
      <c r="E316" s="14"/>
      <c r="F316" s="14"/>
      <c r="G316" s="14"/>
      <c r="H316" s="14"/>
      <c r="I316" s="14"/>
      <c r="J316" s="16"/>
      <c r="K316" s="14">
        <f>Table1[[#This Row],[Complexity]]*$A$11+SUM(Table1[[#This Row],[Other 
Integration]:[OEM 
Integration]])*$C$11</f>
        <v>0</v>
      </c>
      <c r="L316" s="7"/>
      <c r="M316" s="7"/>
    </row>
    <row r="317" spans="1:13" x14ac:dyDescent="0.3">
      <c r="A317" s="14">
        <v>301</v>
      </c>
      <c r="B317" s="14"/>
      <c r="C317" s="14"/>
      <c r="D317" s="14"/>
      <c r="E317" s="14"/>
      <c r="F317" s="14"/>
      <c r="G317" s="14"/>
      <c r="H317" s="14"/>
      <c r="I317" s="14"/>
      <c r="J317" s="16"/>
      <c r="K317" s="14">
        <f>Table1[[#This Row],[Complexity]]*$A$11+SUM(Table1[[#This Row],[Other 
Integration]:[OEM 
Integration]])*$C$11</f>
        <v>0</v>
      </c>
      <c r="L317" s="7"/>
      <c r="M317" s="7"/>
    </row>
    <row r="318" spans="1:13" x14ac:dyDescent="0.3">
      <c r="A318" s="14">
        <v>302</v>
      </c>
      <c r="B318" s="14"/>
      <c r="C318" s="14"/>
      <c r="D318" s="14"/>
      <c r="E318" s="14"/>
      <c r="F318" s="14"/>
      <c r="G318" s="14"/>
      <c r="H318" s="14"/>
      <c r="I318" s="14"/>
      <c r="J318" s="16"/>
      <c r="K318" s="14">
        <f>Table1[[#This Row],[Complexity]]*$A$11+SUM(Table1[[#This Row],[Other 
Integration]:[OEM 
Integration]])*$C$11</f>
        <v>0</v>
      </c>
      <c r="L318" s="7"/>
      <c r="M318" s="7"/>
    </row>
    <row r="319" spans="1:13" x14ac:dyDescent="0.3">
      <c r="A319" s="14">
        <v>303</v>
      </c>
      <c r="B319" s="14"/>
      <c r="C319" s="14"/>
      <c r="D319" s="14"/>
      <c r="E319" s="14"/>
      <c r="F319" s="14"/>
      <c r="G319" s="14"/>
      <c r="H319" s="14"/>
      <c r="I319" s="14"/>
      <c r="J319" s="16"/>
      <c r="K319" s="14">
        <f>Table1[[#This Row],[Complexity]]*$A$11+SUM(Table1[[#This Row],[Other 
Integration]:[OEM 
Integration]])*$C$11</f>
        <v>0</v>
      </c>
      <c r="L319" s="7"/>
      <c r="M319" s="7"/>
    </row>
    <row r="320" spans="1:13" x14ac:dyDescent="0.3">
      <c r="A320" s="14">
        <v>304</v>
      </c>
      <c r="B320" s="14"/>
      <c r="C320" s="14"/>
      <c r="D320" s="14"/>
      <c r="E320" s="14"/>
      <c r="F320" s="14"/>
      <c r="G320" s="14"/>
      <c r="H320" s="14"/>
      <c r="I320" s="14"/>
      <c r="J320" s="16"/>
      <c r="K320" s="14">
        <f>Table1[[#This Row],[Complexity]]*$A$11+SUM(Table1[[#This Row],[Other 
Integration]:[OEM 
Integration]])*$C$11</f>
        <v>0</v>
      </c>
      <c r="L320" s="7"/>
      <c r="M320" s="7"/>
    </row>
    <row r="321" spans="1:13" x14ac:dyDescent="0.3">
      <c r="A321" s="14">
        <v>305</v>
      </c>
      <c r="B321" s="14"/>
      <c r="C321" s="14"/>
      <c r="D321" s="14"/>
      <c r="E321" s="14"/>
      <c r="F321" s="14"/>
      <c r="G321" s="14"/>
      <c r="H321" s="14"/>
      <c r="I321" s="14"/>
      <c r="J321" s="16"/>
      <c r="K321" s="14">
        <f>Table1[[#This Row],[Complexity]]*$A$11+SUM(Table1[[#This Row],[Other 
Integration]:[OEM 
Integration]])*$C$11</f>
        <v>0</v>
      </c>
      <c r="L321" s="7"/>
      <c r="M321" s="7"/>
    </row>
    <row r="322" spans="1:13" x14ac:dyDescent="0.3">
      <c r="A322" s="14">
        <v>306</v>
      </c>
      <c r="B322" s="14"/>
      <c r="C322" s="14"/>
      <c r="D322" s="14"/>
      <c r="E322" s="14"/>
      <c r="F322" s="14"/>
      <c r="G322" s="14"/>
      <c r="H322" s="14"/>
      <c r="I322" s="14"/>
      <c r="J322" s="16"/>
      <c r="K322" s="14">
        <f>Table1[[#This Row],[Complexity]]*$A$11+SUM(Table1[[#This Row],[Other 
Integration]:[OEM 
Integration]])*$C$11</f>
        <v>0</v>
      </c>
      <c r="L322" s="7"/>
      <c r="M322" s="7"/>
    </row>
    <row r="323" spans="1:13" x14ac:dyDescent="0.3">
      <c r="A323" s="14">
        <v>307</v>
      </c>
      <c r="B323" s="14"/>
      <c r="C323" s="14"/>
      <c r="D323" s="14"/>
      <c r="E323" s="14"/>
      <c r="F323" s="14"/>
      <c r="G323" s="14"/>
      <c r="H323" s="14"/>
      <c r="I323" s="14"/>
      <c r="J323" s="16"/>
      <c r="K323" s="14">
        <f>Table1[[#This Row],[Complexity]]*$A$11+SUM(Table1[[#This Row],[Other 
Integration]:[OEM 
Integration]])*$C$11</f>
        <v>0</v>
      </c>
      <c r="L323" s="7"/>
      <c r="M323" s="7"/>
    </row>
    <row r="324" spans="1:13" x14ac:dyDescent="0.3">
      <c r="A324" s="14">
        <v>308</v>
      </c>
      <c r="B324" s="14"/>
      <c r="C324" s="14"/>
      <c r="D324" s="14"/>
      <c r="E324" s="14"/>
      <c r="F324" s="14"/>
      <c r="G324" s="14"/>
      <c r="H324" s="14"/>
      <c r="I324" s="14"/>
      <c r="J324" s="16"/>
      <c r="K324" s="14">
        <f>Table1[[#This Row],[Complexity]]*$A$11+SUM(Table1[[#This Row],[Other 
Integration]:[OEM 
Integration]])*$C$11</f>
        <v>0</v>
      </c>
      <c r="L324" s="7"/>
      <c r="M324" s="7"/>
    </row>
    <row r="325" spans="1:13" x14ac:dyDescent="0.3">
      <c r="A325" s="14">
        <v>309</v>
      </c>
      <c r="B325" s="14"/>
      <c r="C325" s="14"/>
      <c r="D325" s="14"/>
      <c r="E325" s="14"/>
      <c r="F325" s="14"/>
      <c r="G325" s="14"/>
      <c r="H325" s="14"/>
      <c r="I325" s="14"/>
      <c r="J325" s="16"/>
      <c r="K325" s="14">
        <f>Table1[[#This Row],[Complexity]]*$A$11+SUM(Table1[[#This Row],[Other 
Integration]:[OEM 
Integration]])*$C$11</f>
        <v>0</v>
      </c>
      <c r="L325" s="7"/>
      <c r="M325" s="7"/>
    </row>
    <row r="326" spans="1:13" x14ac:dyDescent="0.3">
      <c r="A326" s="14">
        <v>310</v>
      </c>
      <c r="B326" s="14"/>
      <c r="C326" s="14"/>
      <c r="D326" s="14"/>
      <c r="E326" s="14"/>
      <c r="F326" s="14"/>
      <c r="G326" s="14"/>
      <c r="H326" s="14"/>
      <c r="I326" s="14"/>
      <c r="J326" s="16"/>
      <c r="K326" s="14">
        <f>Table1[[#This Row],[Complexity]]*$A$11+SUM(Table1[[#This Row],[Other 
Integration]:[OEM 
Integration]])*$C$11</f>
        <v>0</v>
      </c>
      <c r="L326" s="7"/>
      <c r="M326" s="7"/>
    </row>
    <row r="327" spans="1:13" x14ac:dyDescent="0.3">
      <c r="A327" s="14">
        <v>311</v>
      </c>
      <c r="B327" s="14"/>
      <c r="C327" s="14"/>
      <c r="D327" s="14"/>
      <c r="E327" s="14"/>
      <c r="F327" s="14"/>
      <c r="G327" s="14"/>
      <c r="H327" s="14"/>
      <c r="I327" s="14"/>
      <c r="J327" s="16"/>
      <c r="K327" s="14">
        <f>Table1[[#This Row],[Complexity]]*$A$11+SUM(Table1[[#This Row],[Other 
Integration]:[OEM 
Integration]])*$C$11</f>
        <v>0</v>
      </c>
      <c r="L327" s="7"/>
      <c r="M327" s="7"/>
    </row>
    <row r="328" spans="1:13" x14ac:dyDescent="0.3">
      <c r="A328" s="14">
        <v>312</v>
      </c>
      <c r="B328" s="14"/>
      <c r="C328" s="14"/>
      <c r="D328" s="14"/>
      <c r="E328" s="14"/>
      <c r="F328" s="14"/>
      <c r="G328" s="14"/>
      <c r="H328" s="14"/>
      <c r="I328" s="14"/>
      <c r="J328" s="16"/>
      <c r="K328" s="14">
        <f>Table1[[#This Row],[Complexity]]*$A$11+SUM(Table1[[#This Row],[Other 
Integration]:[OEM 
Integration]])*$C$11</f>
        <v>0</v>
      </c>
      <c r="L328" s="7"/>
      <c r="M328" s="7"/>
    </row>
    <row r="329" spans="1:13" x14ac:dyDescent="0.3">
      <c r="A329" s="14">
        <v>313</v>
      </c>
      <c r="B329" s="14"/>
      <c r="C329" s="14"/>
      <c r="D329" s="14"/>
      <c r="E329" s="14"/>
      <c r="F329" s="14"/>
      <c r="G329" s="14"/>
      <c r="H329" s="14"/>
      <c r="I329" s="14"/>
      <c r="J329" s="16"/>
      <c r="K329" s="14">
        <f>Table1[[#This Row],[Complexity]]*$A$11+SUM(Table1[[#This Row],[Other 
Integration]:[OEM 
Integration]])*$C$11</f>
        <v>0</v>
      </c>
      <c r="L329" s="7"/>
      <c r="M329" s="7"/>
    </row>
    <row r="330" spans="1:13" x14ac:dyDescent="0.3">
      <c r="A330" s="14">
        <v>314</v>
      </c>
      <c r="B330" s="14"/>
      <c r="C330" s="14"/>
      <c r="D330" s="14"/>
      <c r="E330" s="14"/>
      <c r="F330" s="14"/>
      <c r="G330" s="14"/>
      <c r="H330" s="14"/>
      <c r="I330" s="14"/>
      <c r="J330" s="16"/>
      <c r="K330" s="14">
        <f>Table1[[#This Row],[Complexity]]*$A$11+SUM(Table1[[#This Row],[Other 
Integration]:[OEM 
Integration]])*$C$11</f>
        <v>0</v>
      </c>
      <c r="L330" s="7"/>
      <c r="M330" s="7"/>
    </row>
    <row r="331" spans="1:13" x14ac:dyDescent="0.3">
      <c r="A331" s="14">
        <v>315</v>
      </c>
      <c r="B331" s="14"/>
      <c r="C331" s="14"/>
      <c r="D331" s="14"/>
      <c r="E331" s="14"/>
      <c r="F331" s="14"/>
      <c r="G331" s="14"/>
      <c r="H331" s="14"/>
      <c r="I331" s="14"/>
      <c r="J331" s="16"/>
      <c r="K331" s="14">
        <f>Table1[[#This Row],[Complexity]]*$A$11+SUM(Table1[[#This Row],[Other 
Integration]:[OEM 
Integration]])*$C$11</f>
        <v>0</v>
      </c>
      <c r="L331" s="7"/>
      <c r="M331" s="7"/>
    </row>
    <row r="332" spans="1:13" x14ac:dyDescent="0.3">
      <c r="A332" s="14">
        <v>316</v>
      </c>
      <c r="B332" s="14"/>
      <c r="C332" s="14"/>
      <c r="D332" s="14"/>
      <c r="E332" s="14"/>
      <c r="F332" s="14"/>
      <c r="G332" s="14"/>
      <c r="H332" s="14"/>
      <c r="I332" s="14"/>
      <c r="J332" s="16"/>
      <c r="K332" s="14">
        <f>Table1[[#This Row],[Complexity]]*$A$11+SUM(Table1[[#This Row],[Other 
Integration]:[OEM 
Integration]])*$C$11</f>
        <v>0</v>
      </c>
      <c r="L332" s="7"/>
      <c r="M332" s="7"/>
    </row>
    <row r="333" spans="1:13" x14ac:dyDescent="0.3">
      <c r="A333" s="14">
        <v>317</v>
      </c>
      <c r="B333" s="14"/>
      <c r="C333" s="14"/>
      <c r="D333" s="14"/>
      <c r="E333" s="14"/>
      <c r="F333" s="14"/>
      <c r="G333" s="14"/>
      <c r="H333" s="14"/>
      <c r="I333" s="14"/>
      <c r="J333" s="16"/>
      <c r="K333" s="14">
        <f>Table1[[#This Row],[Complexity]]*$A$11+SUM(Table1[[#This Row],[Other 
Integration]:[OEM 
Integration]])*$C$11</f>
        <v>0</v>
      </c>
      <c r="L333" s="7"/>
      <c r="M333" s="7"/>
    </row>
    <row r="334" spans="1:13" x14ac:dyDescent="0.3">
      <c r="A334" s="14">
        <v>318</v>
      </c>
      <c r="B334" s="14"/>
      <c r="C334" s="14"/>
      <c r="D334" s="14"/>
      <c r="E334" s="14"/>
      <c r="F334" s="14"/>
      <c r="G334" s="14"/>
      <c r="H334" s="14"/>
      <c r="I334" s="14"/>
      <c r="J334" s="16"/>
      <c r="K334" s="14">
        <f>Table1[[#This Row],[Complexity]]*$A$11+SUM(Table1[[#This Row],[Other 
Integration]:[OEM 
Integration]])*$C$11</f>
        <v>0</v>
      </c>
      <c r="L334" s="7"/>
      <c r="M334" s="7"/>
    </row>
    <row r="335" spans="1:13" x14ac:dyDescent="0.3">
      <c r="A335" s="14">
        <v>319</v>
      </c>
      <c r="B335" s="14"/>
      <c r="C335" s="14"/>
      <c r="D335" s="14"/>
      <c r="E335" s="14"/>
      <c r="F335" s="14"/>
      <c r="G335" s="14"/>
      <c r="H335" s="14"/>
      <c r="I335" s="14"/>
      <c r="J335" s="16"/>
      <c r="K335" s="14">
        <f>Table1[[#This Row],[Complexity]]*$A$11+SUM(Table1[[#This Row],[Other 
Integration]:[OEM 
Integration]])*$C$11</f>
        <v>0</v>
      </c>
      <c r="L335" s="7"/>
      <c r="M335" s="7"/>
    </row>
    <row r="336" spans="1:13" x14ac:dyDescent="0.3">
      <c r="A336" s="14">
        <v>320</v>
      </c>
      <c r="B336" s="14"/>
      <c r="C336" s="14"/>
      <c r="D336" s="14"/>
      <c r="E336" s="14"/>
      <c r="F336" s="14"/>
      <c r="G336" s="14"/>
      <c r="H336" s="14"/>
      <c r="I336" s="14"/>
      <c r="J336" s="16"/>
      <c r="K336" s="14">
        <f>Table1[[#This Row],[Complexity]]*$A$11+SUM(Table1[[#This Row],[Other 
Integration]:[OEM 
Integration]])*$C$11</f>
        <v>0</v>
      </c>
      <c r="L336" s="7"/>
      <c r="M336" s="7"/>
    </row>
    <row r="337" spans="1:13" x14ac:dyDescent="0.3">
      <c r="A337" s="14">
        <v>321</v>
      </c>
      <c r="B337" s="14"/>
      <c r="C337" s="14"/>
      <c r="D337" s="14"/>
      <c r="E337" s="14"/>
      <c r="F337" s="14"/>
      <c r="G337" s="14"/>
      <c r="H337" s="14"/>
      <c r="I337" s="14"/>
      <c r="J337" s="16"/>
      <c r="K337" s="14">
        <f>Table1[[#This Row],[Complexity]]*$A$11+SUM(Table1[[#This Row],[Other 
Integration]:[OEM 
Integration]])*$C$11</f>
        <v>0</v>
      </c>
      <c r="L337" s="7"/>
      <c r="M337" s="7"/>
    </row>
    <row r="338" spans="1:13" x14ac:dyDescent="0.3">
      <c r="A338" s="14">
        <v>322</v>
      </c>
      <c r="B338" s="14"/>
      <c r="C338" s="14"/>
      <c r="D338" s="14"/>
      <c r="E338" s="14"/>
      <c r="F338" s="14"/>
      <c r="G338" s="14"/>
      <c r="H338" s="14"/>
      <c r="I338" s="14"/>
      <c r="J338" s="16"/>
      <c r="K338" s="14">
        <f>Table1[[#This Row],[Complexity]]*$A$11+SUM(Table1[[#This Row],[Other 
Integration]:[OEM 
Integration]])*$C$11</f>
        <v>0</v>
      </c>
      <c r="L338" s="7"/>
      <c r="M338" s="7"/>
    </row>
    <row r="339" spans="1:13" x14ac:dyDescent="0.3">
      <c r="A339" s="14">
        <v>323</v>
      </c>
      <c r="B339" s="14"/>
      <c r="C339" s="14"/>
      <c r="D339" s="14"/>
      <c r="E339" s="14"/>
      <c r="F339" s="14"/>
      <c r="G339" s="14"/>
      <c r="H339" s="14"/>
      <c r="I339" s="14"/>
      <c r="J339" s="16"/>
      <c r="K339" s="14">
        <f>Table1[[#This Row],[Complexity]]*$A$11+SUM(Table1[[#This Row],[Other 
Integration]:[OEM 
Integration]])*$C$11</f>
        <v>0</v>
      </c>
      <c r="L339" s="7"/>
      <c r="M339" s="7"/>
    </row>
    <row r="340" spans="1:13" x14ac:dyDescent="0.3">
      <c r="A340" s="14">
        <v>324</v>
      </c>
      <c r="B340" s="14"/>
      <c r="C340" s="14"/>
      <c r="D340" s="14"/>
      <c r="E340" s="14"/>
      <c r="F340" s="14"/>
      <c r="G340" s="14"/>
      <c r="H340" s="14"/>
      <c r="I340" s="14"/>
      <c r="J340" s="16"/>
      <c r="K340" s="14">
        <f>Table1[[#This Row],[Complexity]]*$A$11+SUM(Table1[[#This Row],[Other 
Integration]:[OEM 
Integration]])*$C$11</f>
        <v>0</v>
      </c>
      <c r="L340" s="7"/>
      <c r="M340" s="7"/>
    </row>
    <row r="341" spans="1:13" x14ac:dyDescent="0.3">
      <c r="A341" s="14">
        <v>325</v>
      </c>
      <c r="B341" s="14"/>
      <c r="C341" s="14"/>
      <c r="D341" s="14"/>
      <c r="E341" s="14"/>
      <c r="F341" s="14"/>
      <c r="G341" s="14"/>
      <c r="H341" s="14"/>
      <c r="I341" s="14"/>
      <c r="J341" s="16"/>
      <c r="K341" s="14">
        <f>Table1[[#This Row],[Complexity]]*$A$11+SUM(Table1[[#This Row],[Other 
Integration]:[OEM 
Integration]])*$C$11</f>
        <v>0</v>
      </c>
      <c r="L341" s="7"/>
      <c r="M341" s="7"/>
    </row>
    <row r="342" spans="1:13" x14ac:dyDescent="0.3">
      <c r="A342" s="14">
        <v>326</v>
      </c>
      <c r="B342" s="14"/>
      <c r="C342" s="14"/>
      <c r="D342" s="14"/>
      <c r="E342" s="14"/>
      <c r="F342" s="14"/>
      <c r="G342" s="14"/>
      <c r="H342" s="14"/>
      <c r="I342" s="14"/>
      <c r="J342" s="16"/>
      <c r="K342" s="14">
        <f>Table1[[#This Row],[Complexity]]*$A$11+SUM(Table1[[#This Row],[Other 
Integration]:[OEM 
Integration]])*$C$11</f>
        <v>0</v>
      </c>
      <c r="L342" s="7"/>
      <c r="M342" s="7"/>
    </row>
    <row r="343" spans="1:13" x14ac:dyDescent="0.3">
      <c r="A343" s="14">
        <v>327</v>
      </c>
      <c r="B343" s="14"/>
      <c r="C343" s="14"/>
      <c r="D343" s="14"/>
      <c r="E343" s="14"/>
      <c r="F343" s="14"/>
      <c r="G343" s="14"/>
      <c r="H343" s="14"/>
      <c r="I343" s="14"/>
      <c r="J343" s="16"/>
      <c r="K343" s="14">
        <f>Table1[[#This Row],[Complexity]]*$A$11+SUM(Table1[[#This Row],[Other 
Integration]:[OEM 
Integration]])*$C$11</f>
        <v>0</v>
      </c>
      <c r="L343" s="7"/>
      <c r="M343" s="7"/>
    </row>
    <row r="344" spans="1:13" x14ac:dyDescent="0.3">
      <c r="A344" s="14">
        <v>328</v>
      </c>
      <c r="B344" s="14"/>
      <c r="C344" s="14"/>
      <c r="D344" s="14"/>
      <c r="E344" s="14"/>
      <c r="F344" s="14"/>
      <c r="G344" s="14"/>
      <c r="H344" s="14"/>
      <c r="I344" s="14"/>
      <c r="J344" s="16"/>
      <c r="K344" s="14">
        <f>Table1[[#This Row],[Complexity]]*$A$11+SUM(Table1[[#This Row],[Other 
Integration]:[OEM 
Integration]])*$C$11</f>
        <v>0</v>
      </c>
      <c r="L344" s="7"/>
      <c r="M344" s="7"/>
    </row>
    <row r="345" spans="1:13" x14ac:dyDescent="0.3">
      <c r="A345" s="14">
        <v>329</v>
      </c>
      <c r="B345" s="14"/>
      <c r="C345" s="14"/>
      <c r="D345" s="14"/>
      <c r="E345" s="14"/>
      <c r="F345" s="14"/>
      <c r="G345" s="14"/>
      <c r="H345" s="14"/>
      <c r="I345" s="14"/>
      <c r="J345" s="16"/>
      <c r="K345" s="14">
        <f>Table1[[#This Row],[Complexity]]*$A$11+SUM(Table1[[#This Row],[Other 
Integration]:[OEM 
Integration]])*$C$11</f>
        <v>0</v>
      </c>
      <c r="L345" s="7"/>
      <c r="M345" s="7"/>
    </row>
    <row r="346" spans="1:13" x14ac:dyDescent="0.3">
      <c r="A346" s="14">
        <v>330</v>
      </c>
      <c r="B346" s="14"/>
      <c r="C346" s="14"/>
      <c r="D346" s="14"/>
      <c r="E346" s="14"/>
      <c r="F346" s="14"/>
      <c r="G346" s="14"/>
      <c r="H346" s="14"/>
      <c r="I346" s="14"/>
      <c r="J346" s="16"/>
      <c r="K346" s="14">
        <f>Table1[[#This Row],[Complexity]]*$A$11+SUM(Table1[[#This Row],[Other 
Integration]:[OEM 
Integration]])*$C$11</f>
        <v>0</v>
      </c>
      <c r="L346" s="7"/>
      <c r="M346" s="7"/>
    </row>
    <row r="347" spans="1:13" x14ac:dyDescent="0.3">
      <c r="A347" s="14">
        <v>331</v>
      </c>
      <c r="B347" s="14"/>
      <c r="C347" s="14"/>
      <c r="D347" s="14"/>
      <c r="E347" s="14"/>
      <c r="F347" s="14"/>
      <c r="G347" s="14"/>
      <c r="H347" s="14"/>
      <c r="I347" s="14"/>
      <c r="J347" s="16"/>
      <c r="K347" s="14">
        <f>Table1[[#This Row],[Complexity]]*$A$11+SUM(Table1[[#This Row],[Other 
Integration]:[OEM 
Integration]])*$C$11</f>
        <v>0</v>
      </c>
      <c r="L347" s="7"/>
      <c r="M347" s="7"/>
    </row>
    <row r="348" spans="1:13" x14ac:dyDescent="0.3">
      <c r="A348" s="14">
        <v>332</v>
      </c>
      <c r="B348" s="14"/>
      <c r="C348" s="14"/>
      <c r="D348" s="14"/>
      <c r="E348" s="14"/>
      <c r="F348" s="14"/>
      <c r="G348" s="14"/>
      <c r="H348" s="14"/>
      <c r="I348" s="14"/>
      <c r="J348" s="16"/>
      <c r="K348" s="14">
        <f>Table1[[#This Row],[Complexity]]*$A$11+SUM(Table1[[#This Row],[Other 
Integration]:[OEM 
Integration]])*$C$11</f>
        <v>0</v>
      </c>
      <c r="L348" s="7"/>
      <c r="M348" s="7"/>
    </row>
    <row r="349" spans="1:13" x14ac:dyDescent="0.3">
      <c r="A349" s="14">
        <v>333</v>
      </c>
      <c r="B349" s="14"/>
      <c r="C349" s="14"/>
      <c r="D349" s="14"/>
      <c r="E349" s="14"/>
      <c r="F349" s="14"/>
      <c r="G349" s="14"/>
      <c r="H349" s="14"/>
      <c r="I349" s="14"/>
      <c r="J349" s="16"/>
      <c r="K349" s="14">
        <f>Table1[[#This Row],[Complexity]]*$A$11+SUM(Table1[[#This Row],[Other 
Integration]:[OEM 
Integration]])*$C$11</f>
        <v>0</v>
      </c>
      <c r="L349" s="7"/>
      <c r="M349" s="7"/>
    </row>
    <row r="350" spans="1:13" x14ac:dyDescent="0.3">
      <c r="A350" s="14">
        <v>334</v>
      </c>
      <c r="B350" s="14"/>
      <c r="C350" s="14"/>
      <c r="D350" s="14"/>
      <c r="E350" s="14"/>
      <c r="F350" s="14"/>
      <c r="G350" s="14"/>
      <c r="H350" s="14"/>
      <c r="I350" s="14"/>
      <c r="J350" s="16"/>
      <c r="K350" s="14">
        <f>Table1[[#This Row],[Complexity]]*$A$11+SUM(Table1[[#This Row],[Other 
Integration]:[OEM 
Integration]])*$C$11</f>
        <v>0</v>
      </c>
      <c r="L350" s="7"/>
      <c r="M350" s="7"/>
    </row>
    <row r="351" spans="1:13" x14ac:dyDescent="0.3">
      <c r="A351" s="14">
        <v>335</v>
      </c>
      <c r="B351" s="14"/>
      <c r="C351" s="14"/>
      <c r="D351" s="14"/>
      <c r="E351" s="14"/>
      <c r="F351" s="14"/>
      <c r="G351" s="14"/>
      <c r="H351" s="14"/>
      <c r="I351" s="14"/>
      <c r="J351" s="16"/>
      <c r="K351" s="14">
        <f>Table1[[#This Row],[Complexity]]*$A$11+SUM(Table1[[#This Row],[Other 
Integration]:[OEM 
Integration]])*$C$11</f>
        <v>0</v>
      </c>
      <c r="L351" s="7"/>
      <c r="M351" s="7"/>
    </row>
    <row r="352" spans="1:13" x14ac:dyDescent="0.3">
      <c r="A352" s="14">
        <v>336</v>
      </c>
      <c r="B352" s="14"/>
      <c r="C352" s="14"/>
      <c r="D352" s="14"/>
      <c r="E352" s="14"/>
      <c r="F352" s="14"/>
      <c r="G352" s="14"/>
      <c r="H352" s="14"/>
      <c r="I352" s="14"/>
      <c r="J352" s="16"/>
      <c r="K352" s="14">
        <f>Table1[[#This Row],[Complexity]]*$A$11+SUM(Table1[[#This Row],[Other 
Integration]:[OEM 
Integration]])*$C$11</f>
        <v>0</v>
      </c>
      <c r="L352" s="7"/>
      <c r="M352" s="7"/>
    </row>
    <row r="353" spans="1:13" x14ac:dyDescent="0.3">
      <c r="A353" s="14">
        <v>337</v>
      </c>
      <c r="B353" s="14"/>
      <c r="C353" s="14"/>
      <c r="D353" s="14"/>
      <c r="E353" s="14"/>
      <c r="F353" s="14"/>
      <c r="G353" s="14"/>
      <c r="H353" s="14"/>
      <c r="I353" s="14"/>
      <c r="J353" s="16"/>
      <c r="K353" s="14">
        <f>Table1[[#This Row],[Complexity]]*$A$11+SUM(Table1[[#This Row],[Other 
Integration]:[OEM 
Integration]])*$C$11</f>
        <v>0</v>
      </c>
      <c r="L353" s="7"/>
      <c r="M353" s="7"/>
    </row>
    <row r="354" spans="1:13" x14ac:dyDescent="0.3">
      <c r="A354" s="14">
        <v>338</v>
      </c>
      <c r="B354" s="14"/>
      <c r="C354" s="14"/>
      <c r="D354" s="14"/>
      <c r="E354" s="14"/>
      <c r="F354" s="14"/>
      <c r="G354" s="14"/>
      <c r="H354" s="14"/>
      <c r="I354" s="14"/>
      <c r="J354" s="16"/>
      <c r="K354" s="14">
        <f>Table1[[#This Row],[Complexity]]*$A$11+SUM(Table1[[#This Row],[Other 
Integration]:[OEM 
Integration]])*$C$11</f>
        <v>0</v>
      </c>
      <c r="L354" s="7"/>
      <c r="M354" s="7"/>
    </row>
    <row r="355" spans="1:13" x14ac:dyDescent="0.3">
      <c r="A355" s="14">
        <v>339</v>
      </c>
      <c r="B355" s="14"/>
      <c r="C355" s="14"/>
      <c r="D355" s="14"/>
      <c r="E355" s="14"/>
      <c r="F355" s="14"/>
      <c r="G355" s="14"/>
      <c r="H355" s="14"/>
      <c r="I355" s="14"/>
      <c r="J355" s="16"/>
      <c r="K355" s="14">
        <f>Table1[[#This Row],[Complexity]]*$A$11+SUM(Table1[[#This Row],[Other 
Integration]:[OEM 
Integration]])*$C$11</f>
        <v>0</v>
      </c>
      <c r="L355" s="7"/>
      <c r="M355" s="7"/>
    </row>
    <row r="356" spans="1:13" x14ac:dyDescent="0.3">
      <c r="A356" s="14">
        <v>340</v>
      </c>
      <c r="B356" s="14"/>
      <c r="C356" s="14"/>
      <c r="D356" s="14"/>
      <c r="E356" s="14"/>
      <c r="F356" s="14"/>
      <c r="G356" s="14"/>
      <c r="H356" s="14"/>
      <c r="I356" s="14"/>
      <c r="J356" s="16"/>
      <c r="K356" s="14">
        <f>Table1[[#This Row],[Complexity]]*$A$11+SUM(Table1[[#This Row],[Other 
Integration]:[OEM 
Integration]])*$C$11</f>
        <v>0</v>
      </c>
      <c r="L356" s="7"/>
      <c r="M356" s="7"/>
    </row>
    <row r="357" spans="1:13" x14ac:dyDescent="0.3">
      <c r="A357" s="14">
        <v>341</v>
      </c>
      <c r="B357" s="14"/>
      <c r="C357" s="14"/>
      <c r="D357" s="14"/>
      <c r="E357" s="14"/>
      <c r="F357" s="14"/>
      <c r="G357" s="14"/>
      <c r="H357" s="14"/>
      <c r="I357" s="14"/>
      <c r="J357" s="16"/>
      <c r="K357" s="14">
        <f>Table1[[#This Row],[Complexity]]*$A$11+SUM(Table1[[#This Row],[Other 
Integration]:[OEM 
Integration]])*$C$11</f>
        <v>0</v>
      </c>
      <c r="L357" s="7"/>
      <c r="M357" s="7"/>
    </row>
    <row r="358" spans="1:13" x14ac:dyDescent="0.3">
      <c r="A358" s="14">
        <v>342</v>
      </c>
      <c r="B358" s="14"/>
      <c r="C358" s="14"/>
      <c r="D358" s="14"/>
      <c r="E358" s="14"/>
      <c r="F358" s="14"/>
      <c r="G358" s="14"/>
      <c r="H358" s="14"/>
      <c r="I358" s="14"/>
      <c r="J358" s="16"/>
      <c r="K358" s="14">
        <f>Table1[[#This Row],[Complexity]]*$A$11+SUM(Table1[[#This Row],[Other 
Integration]:[OEM 
Integration]])*$C$11</f>
        <v>0</v>
      </c>
      <c r="L358" s="7"/>
      <c r="M358" s="7"/>
    </row>
    <row r="359" spans="1:13" x14ac:dyDescent="0.3">
      <c r="A359" s="14">
        <v>343</v>
      </c>
      <c r="B359" s="14"/>
      <c r="C359" s="14"/>
      <c r="D359" s="14"/>
      <c r="E359" s="14"/>
      <c r="F359" s="14"/>
      <c r="G359" s="14"/>
      <c r="H359" s="14"/>
      <c r="I359" s="14"/>
      <c r="J359" s="16"/>
      <c r="K359" s="14">
        <f>Table1[[#This Row],[Complexity]]*$A$11+SUM(Table1[[#This Row],[Other 
Integration]:[OEM 
Integration]])*$C$11</f>
        <v>0</v>
      </c>
      <c r="L359" s="7"/>
      <c r="M359" s="7"/>
    </row>
    <row r="360" spans="1:13" x14ac:dyDescent="0.3">
      <c r="A360" s="14">
        <v>344</v>
      </c>
      <c r="B360" s="14"/>
      <c r="C360" s="14"/>
      <c r="D360" s="14"/>
      <c r="E360" s="14"/>
      <c r="F360" s="14"/>
      <c r="G360" s="14"/>
      <c r="H360" s="14"/>
      <c r="I360" s="14"/>
      <c r="J360" s="16"/>
      <c r="K360" s="14">
        <f>Table1[[#This Row],[Complexity]]*$A$11+SUM(Table1[[#This Row],[Other 
Integration]:[OEM 
Integration]])*$C$11</f>
        <v>0</v>
      </c>
      <c r="L360" s="7"/>
      <c r="M360" s="7"/>
    </row>
    <row r="361" spans="1:13" x14ac:dyDescent="0.3">
      <c r="A361" s="14">
        <v>345</v>
      </c>
      <c r="B361" s="14"/>
      <c r="C361" s="14"/>
      <c r="D361" s="14"/>
      <c r="E361" s="14"/>
      <c r="F361" s="14"/>
      <c r="G361" s="14"/>
      <c r="H361" s="14"/>
      <c r="I361" s="14"/>
      <c r="J361" s="16"/>
      <c r="K361" s="14">
        <f>Table1[[#This Row],[Complexity]]*$A$11+SUM(Table1[[#This Row],[Other 
Integration]:[OEM 
Integration]])*$C$11</f>
        <v>0</v>
      </c>
      <c r="L361" s="7"/>
      <c r="M361" s="7"/>
    </row>
    <row r="362" spans="1:13" x14ac:dyDescent="0.3">
      <c r="A362" s="14">
        <v>346</v>
      </c>
      <c r="B362" s="14"/>
      <c r="C362" s="14"/>
      <c r="D362" s="14"/>
      <c r="E362" s="14"/>
      <c r="F362" s="14"/>
      <c r="G362" s="14"/>
      <c r="H362" s="14"/>
      <c r="I362" s="14"/>
      <c r="J362" s="16"/>
      <c r="K362" s="14">
        <f>Table1[[#This Row],[Complexity]]*$A$11+SUM(Table1[[#This Row],[Other 
Integration]:[OEM 
Integration]])*$C$11</f>
        <v>0</v>
      </c>
      <c r="L362" s="7"/>
      <c r="M362" s="7"/>
    </row>
    <row r="363" spans="1:13" x14ac:dyDescent="0.3">
      <c r="A363" s="14">
        <v>347</v>
      </c>
      <c r="B363" s="14"/>
      <c r="C363" s="14"/>
      <c r="D363" s="14"/>
      <c r="E363" s="14"/>
      <c r="F363" s="14"/>
      <c r="G363" s="14"/>
      <c r="H363" s="14"/>
      <c r="I363" s="14"/>
      <c r="J363" s="16"/>
      <c r="K363" s="14">
        <f>Table1[[#This Row],[Complexity]]*$A$11+SUM(Table1[[#This Row],[Other 
Integration]:[OEM 
Integration]])*$C$11</f>
        <v>0</v>
      </c>
      <c r="L363" s="7"/>
      <c r="M363" s="7"/>
    </row>
    <row r="364" spans="1:13" x14ac:dyDescent="0.3">
      <c r="A364" s="14">
        <v>348</v>
      </c>
      <c r="B364" s="14"/>
      <c r="C364" s="14"/>
      <c r="D364" s="14"/>
      <c r="E364" s="14"/>
      <c r="F364" s="14"/>
      <c r="G364" s="14"/>
      <c r="H364" s="14"/>
      <c r="I364" s="14"/>
      <c r="J364" s="16"/>
      <c r="K364" s="14">
        <f>Table1[[#This Row],[Complexity]]*$A$11+SUM(Table1[[#This Row],[Other 
Integration]:[OEM 
Integration]])*$C$11</f>
        <v>0</v>
      </c>
      <c r="L364" s="7"/>
      <c r="M364" s="7"/>
    </row>
    <row r="365" spans="1:13" x14ac:dyDescent="0.3">
      <c r="A365" s="14">
        <v>349</v>
      </c>
      <c r="B365" s="14"/>
      <c r="C365" s="14"/>
      <c r="D365" s="14"/>
      <c r="E365" s="14"/>
      <c r="F365" s="14"/>
      <c r="G365" s="14"/>
      <c r="H365" s="14"/>
      <c r="I365" s="14"/>
      <c r="J365" s="16"/>
      <c r="K365" s="14">
        <f>Table1[[#This Row],[Complexity]]*$A$11+SUM(Table1[[#This Row],[Other 
Integration]:[OEM 
Integration]])*$C$11</f>
        <v>0</v>
      </c>
      <c r="L365" s="7"/>
      <c r="M365" s="7"/>
    </row>
    <row r="366" spans="1:13" x14ac:dyDescent="0.3">
      <c r="A366" s="14">
        <v>350</v>
      </c>
      <c r="B366" s="14"/>
      <c r="C366" s="14"/>
      <c r="D366" s="14"/>
      <c r="E366" s="14"/>
      <c r="F366" s="14"/>
      <c r="G366" s="14"/>
      <c r="H366" s="14"/>
      <c r="I366" s="14"/>
      <c r="J366" s="16"/>
      <c r="K366" s="14">
        <f>Table1[[#This Row],[Complexity]]*$A$11+SUM(Table1[[#This Row],[Other 
Integration]:[OEM 
Integration]])*$C$11</f>
        <v>0</v>
      </c>
      <c r="L366" s="7"/>
      <c r="M366" s="7"/>
    </row>
    <row r="367" spans="1:13" x14ac:dyDescent="0.3">
      <c r="A367" s="14">
        <v>351</v>
      </c>
      <c r="B367" s="14"/>
      <c r="C367" s="14"/>
      <c r="D367" s="14"/>
      <c r="E367" s="14"/>
      <c r="F367" s="14"/>
      <c r="G367" s="14"/>
      <c r="H367" s="14"/>
      <c r="I367" s="14"/>
      <c r="J367" s="16"/>
      <c r="K367" s="14">
        <f>Table1[[#This Row],[Complexity]]*$A$11+SUM(Table1[[#This Row],[Other 
Integration]:[OEM 
Integration]])*$C$11</f>
        <v>0</v>
      </c>
      <c r="L367" s="7"/>
      <c r="M367" s="7"/>
    </row>
    <row r="368" spans="1:13" x14ac:dyDescent="0.3">
      <c r="A368" s="14">
        <v>352</v>
      </c>
      <c r="B368" s="14"/>
      <c r="C368" s="14"/>
      <c r="D368" s="14"/>
      <c r="E368" s="14"/>
      <c r="F368" s="14"/>
      <c r="G368" s="14"/>
      <c r="H368" s="14"/>
      <c r="I368" s="14"/>
      <c r="J368" s="16"/>
      <c r="K368" s="14">
        <f>Table1[[#This Row],[Complexity]]*$A$11+SUM(Table1[[#This Row],[Other 
Integration]:[OEM 
Integration]])*$C$11</f>
        <v>0</v>
      </c>
      <c r="L368" s="7"/>
      <c r="M368" s="7"/>
    </row>
    <row r="369" spans="1:13" x14ac:dyDescent="0.3">
      <c r="A369" s="14">
        <v>353</v>
      </c>
      <c r="B369" s="14"/>
      <c r="C369" s="14"/>
      <c r="D369" s="14"/>
      <c r="E369" s="14"/>
      <c r="F369" s="14"/>
      <c r="G369" s="14"/>
      <c r="H369" s="14"/>
      <c r="I369" s="14"/>
      <c r="J369" s="16"/>
      <c r="K369" s="14">
        <f>Table1[[#This Row],[Complexity]]*$A$11+SUM(Table1[[#This Row],[Other 
Integration]:[OEM 
Integration]])*$C$11</f>
        <v>0</v>
      </c>
      <c r="L369" s="7"/>
      <c r="M369" s="7"/>
    </row>
    <row r="370" spans="1:13" x14ac:dyDescent="0.3">
      <c r="A370" s="14">
        <v>354</v>
      </c>
      <c r="B370" s="14"/>
      <c r="C370" s="14"/>
      <c r="D370" s="14"/>
      <c r="E370" s="14"/>
      <c r="F370" s="14"/>
      <c r="G370" s="14"/>
      <c r="H370" s="14"/>
      <c r="I370" s="14"/>
      <c r="J370" s="16"/>
      <c r="K370" s="14">
        <f>Table1[[#This Row],[Complexity]]*$A$11+SUM(Table1[[#This Row],[Other 
Integration]:[OEM 
Integration]])*$C$11</f>
        <v>0</v>
      </c>
      <c r="L370" s="7"/>
      <c r="M370" s="7"/>
    </row>
    <row r="371" spans="1:13" x14ac:dyDescent="0.3">
      <c r="A371" s="14">
        <v>355</v>
      </c>
      <c r="B371" s="14"/>
      <c r="C371" s="14"/>
      <c r="D371" s="14"/>
      <c r="E371" s="14"/>
      <c r="F371" s="14"/>
      <c r="G371" s="14"/>
      <c r="H371" s="14"/>
      <c r="I371" s="14"/>
      <c r="J371" s="16"/>
      <c r="K371" s="14">
        <f>Table1[[#This Row],[Complexity]]*$A$11+SUM(Table1[[#This Row],[Other 
Integration]:[OEM 
Integration]])*$C$11</f>
        <v>0</v>
      </c>
      <c r="L371" s="7"/>
      <c r="M371" s="7"/>
    </row>
    <row r="372" spans="1:13" x14ac:dyDescent="0.3">
      <c r="A372" s="14">
        <v>356</v>
      </c>
      <c r="B372" s="14"/>
      <c r="C372" s="14"/>
      <c r="D372" s="14"/>
      <c r="E372" s="14"/>
      <c r="F372" s="14"/>
      <c r="G372" s="14"/>
      <c r="H372" s="14"/>
      <c r="I372" s="14"/>
      <c r="J372" s="16"/>
      <c r="K372" s="14">
        <f>Table1[[#This Row],[Complexity]]*$A$11+SUM(Table1[[#This Row],[Other 
Integration]:[OEM 
Integration]])*$C$11</f>
        <v>0</v>
      </c>
      <c r="L372" s="7"/>
      <c r="M372" s="7"/>
    </row>
    <row r="373" spans="1:13" x14ac:dyDescent="0.3">
      <c r="A373" s="14">
        <v>357</v>
      </c>
      <c r="B373" s="14"/>
      <c r="C373" s="14"/>
      <c r="D373" s="14"/>
      <c r="E373" s="14"/>
      <c r="F373" s="14"/>
      <c r="G373" s="14"/>
      <c r="H373" s="14"/>
      <c r="I373" s="14"/>
      <c r="J373" s="16"/>
      <c r="K373" s="14">
        <f>Table1[[#This Row],[Complexity]]*$A$11+SUM(Table1[[#This Row],[Other 
Integration]:[OEM 
Integration]])*$C$11</f>
        <v>0</v>
      </c>
      <c r="L373" s="7"/>
      <c r="M373" s="7"/>
    </row>
    <row r="374" spans="1:13" x14ac:dyDescent="0.3">
      <c r="A374" s="14">
        <v>358</v>
      </c>
      <c r="B374" s="14"/>
      <c r="C374" s="14"/>
      <c r="D374" s="14"/>
      <c r="E374" s="14"/>
      <c r="F374" s="14"/>
      <c r="G374" s="14"/>
      <c r="H374" s="14"/>
      <c r="I374" s="14"/>
      <c r="J374" s="16"/>
      <c r="K374" s="14">
        <f>Table1[[#This Row],[Complexity]]*$A$11+SUM(Table1[[#This Row],[Other 
Integration]:[OEM 
Integration]])*$C$11</f>
        <v>0</v>
      </c>
      <c r="L374" s="7"/>
      <c r="M374" s="7"/>
    </row>
    <row r="375" spans="1:13" x14ac:dyDescent="0.3">
      <c r="A375" s="14">
        <v>359</v>
      </c>
      <c r="B375" s="14"/>
      <c r="C375" s="14"/>
      <c r="D375" s="14"/>
      <c r="E375" s="14"/>
      <c r="F375" s="14"/>
      <c r="G375" s="14"/>
      <c r="H375" s="14"/>
      <c r="I375" s="14"/>
      <c r="J375" s="16"/>
      <c r="K375" s="14">
        <f>Table1[[#This Row],[Complexity]]*$A$11+SUM(Table1[[#This Row],[Other 
Integration]:[OEM 
Integration]])*$C$11</f>
        <v>0</v>
      </c>
      <c r="L375" s="7"/>
      <c r="M375" s="7"/>
    </row>
    <row r="376" spans="1:13" x14ac:dyDescent="0.3">
      <c r="A376" s="14">
        <v>360</v>
      </c>
      <c r="B376" s="14"/>
      <c r="C376" s="14"/>
      <c r="D376" s="14"/>
      <c r="E376" s="14"/>
      <c r="F376" s="14"/>
      <c r="G376" s="14"/>
      <c r="H376" s="14"/>
      <c r="I376" s="14"/>
      <c r="J376" s="16"/>
      <c r="K376" s="14">
        <f>Table1[[#This Row],[Complexity]]*$A$11+SUM(Table1[[#This Row],[Other 
Integration]:[OEM 
Integration]])*$C$11</f>
        <v>0</v>
      </c>
      <c r="L376" s="7"/>
      <c r="M376" s="7"/>
    </row>
    <row r="377" spans="1:13" x14ac:dyDescent="0.3">
      <c r="A377" s="14">
        <v>361</v>
      </c>
      <c r="B377" s="14"/>
      <c r="C377" s="14"/>
      <c r="D377" s="14"/>
      <c r="E377" s="14"/>
      <c r="F377" s="14"/>
      <c r="G377" s="14"/>
      <c r="H377" s="14"/>
      <c r="I377" s="14"/>
      <c r="J377" s="16"/>
      <c r="K377" s="14">
        <f>Table1[[#This Row],[Complexity]]*$A$11+SUM(Table1[[#This Row],[Other 
Integration]:[OEM 
Integration]])*$C$11</f>
        <v>0</v>
      </c>
      <c r="L377" s="7"/>
      <c r="M377" s="7"/>
    </row>
    <row r="378" spans="1:13" x14ac:dyDescent="0.3">
      <c r="A378" s="14">
        <v>362</v>
      </c>
      <c r="B378" s="14"/>
      <c r="C378" s="14"/>
      <c r="D378" s="14"/>
      <c r="E378" s="14"/>
      <c r="F378" s="14"/>
      <c r="G378" s="14"/>
      <c r="H378" s="14"/>
      <c r="I378" s="14"/>
      <c r="J378" s="16"/>
      <c r="K378" s="14">
        <f>Table1[[#This Row],[Complexity]]*$A$11+SUM(Table1[[#This Row],[Other 
Integration]:[OEM 
Integration]])*$C$11</f>
        <v>0</v>
      </c>
      <c r="L378" s="7"/>
      <c r="M378" s="7"/>
    </row>
    <row r="379" spans="1:13" x14ac:dyDescent="0.3">
      <c r="A379" s="14">
        <v>363</v>
      </c>
      <c r="B379" s="14"/>
      <c r="C379" s="14"/>
      <c r="D379" s="14"/>
      <c r="E379" s="14"/>
      <c r="F379" s="14"/>
      <c r="G379" s="14"/>
      <c r="H379" s="14"/>
      <c r="I379" s="14"/>
      <c r="J379" s="16"/>
      <c r="K379" s="14">
        <f>Table1[[#This Row],[Complexity]]*$A$11+SUM(Table1[[#This Row],[Other 
Integration]:[OEM 
Integration]])*$C$11</f>
        <v>0</v>
      </c>
      <c r="L379" s="7"/>
      <c r="M379" s="7"/>
    </row>
    <row r="380" spans="1:13" x14ac:dyDescent="0.3">
      <c r="A380" s="14">
        <v>364</v>
      </c>
      <c r="B380" s="14"/>
      <c r="C380" s="14"/>
      <c r="D380" s="14"/>
      <c r="E380" s="14"/>
      <c r="F380" s="14"/>
      <c r="G380" s="14"/>
      <c r="H380" s="14"/>
      <c r="I380" s="14"/>
      <c r="J380" s="16"/>
      <c r="K380" s="14">
        <f>Table1[[#This Row],[Complexity]]*$A$11+SUM(Table1[[#This Row],[Other 
Integration]:[OEM 
Integration]])*$C$11</f>
        <v>0</v>
      </c>
      <c r="L380" s="7"/>
      <c r="M380" s="7"/>
    </row>
    <row r="381" spans="1:13" x14ac:dyDescent="0.3">
      <c r="A381" s="14">
        <v>365</v>
      </c>
      <c r="B381" s="14"/>
      <c r="C381" s="14"/>
      <c r="D381" s="14"/>
      <c r="E381" s="14"/>
      <c r="F381" s="14"/>
      <c r="G381" s="14"/>
      <c r="H381" s="14"/>
      <c r="I381" s="14"/>
      <c r="J381" s="16"/>
      <c r="K381" s="14">
        <f>Table1[[#This Row],[Complexity]]*$A$11+SUM(Table1[[#This Row],[Other 
Integration]:[OEM 
Integration]])*$C$11</f>
        <v>0</v>
      </c>
      <c r="L381" s="7"/>
      <c r="M381" s="7"/>
    </row>
    <row r="382" spans="1:13" x14ac:dyDescent="0.3">
      <c r="A382" s="14">
        <v>366</v>
      </c>
      <c r="B382" s="14"/>
      <c r="C382" s="14"/>
      <c r="D382" s="14"/>
      <c r="E382" s="14"/>
      <c r="F382" s="14"/>
      <c r="G382" s="14"/>
      <c r="H382" s="14"/>
      <c r="I382" s="14"/>
      <c r="J382" s="16"/>
      <c r="K382" s="14">
        <f>Table1[[#This Row],[Complexity]]*$A$11+SUM(Table1[[#This Row],[Other 
Integration]:[OEM 
Integration]])*$C$11</f>
        <v>0</v>
      </c>
      <c r="L382" s="7"/>
      <c r="M382" s="7"/>
    </row>
    <row r="383" spans="1:13" x14ac:dyDescent="0.3">
      <c r="A383" s="14">
        <v>367</v>
      </c>
      <c r="B383" s="14"/>
      <c r="C383" s="14"/>
      <c r="D383" s="14"/>
      <c r="E383" s="14"/>
      <c r="F383" s="14"/>
      <c r="G383" s="14"/>
      <c r="H383" s="14"/>
      <c r="I383" s="14"/>
      <c r="J383" s="16"/>
      <c r="K383" s="14">
        <f>Table1[[#This Row],[Complexity]]*$A$11+SUM(Table1[[#This Row],[Other 
Integration]:[OEM 
Integration]])*$C$11</f>
        <v>0</v>
      </c>
      <c r="L383" s="7"/>
      <c r="M383" s="7"/>
    </row>
    <row r="384" spans="1:13" x14ac:dyDescent="0.3">
      <c r="A384" s="14">
        <v>368</v>
      </c>
      <c r="B384" s="14"/>
      <c r="C384" s="14"/>
      <c r="D384" s="14"/>
      <c r="E384" s="14"/>
      <c r="F384" s="14"/>
      <c r="G384" s="14"/>
      <c r="H384" s="14"/>
      <c r="I384" s="14"/>
      <c r="J384" s="16"/>
      <c r="K384" s="14">
        <f>Table1[[#This Row],[Complexity]]*$A$11+SUM(Table1[[#This Row],[Other 
Integration]:[OEM 
Integration]])*$C$11</f>
        <v>0</v>
      </c>
      <c r="L384" s="7"/>
      <c r="M384" s="7"/>
    </row>
    <row r="385" spans="1:13" x14ac:dyDescent="0.3">
      <c r="A385" s="14">
        <v>369</v>
      </c>
      <c r="B385" s="14"/>
      <c r="C385" s="14"/>
      <c r="D385" s="14"/>
      <c r="E385" s="14"/>
      <c r="F385" s="14"/>
      <c r="G385" s="14"/>
      <c r="H385" s="14"/>
      <c r="I385" s="14"/>
      <c r="J385" s="16"/>
      <c r="K385" s="14">
        <f>Table1[[#This Row],[Complexity]]*$A$11+SUM(Table1[[#This Row],[Other 
Integration]:[OEM 
Integration]])*$C$11</f>
        <v>0</v>
      </c>
      <c r="L385" s="7"/>
      <c r="M385" s="7"/>
    </row>
    <row r="386" spans="1:13" x14ac:dyDescent="0.3">
      <c r="A386" s="14">
        <v>370</v>
      </c>
      <c r="B386" s="14"/>
      <c r="C386" s="14"/>
      <c r="D386" s="14"/>
      <c r="E386" s="14"/>
      <c r="F386" s="14"/>
      <c r="G386" s="14"/>
      <c r="H386" s="14"/>
      <c r="I386" s="14"/>
      <c r="J386" s="16"/>
      <c r="K386" s="14">
        <f>Table1[[#This Row],[Complexity]]*$A$11+SUM(Table1[[#This Row],[Other 
Integration]:[OEM 
Integration]])*$C$11</f>
        <v>0</v>
      </c>
      <c r="L386" s="7"/>
      <c r="M386" s="7"/>
    </row>
    <row r="387" spans="1:13" x14ac:dyDescent="0.3">
      <c r="A387" s="14">
        <v>371</v>
      </c>
      <c r="B387" s="14"/>
      <c r="C387" s="14"/>
      <c r="D387" s="14"/>
      <c r="E387" s="14"/>
      <c r="F387" s="14"/>
      <c r="G387" s="14"/>
      <c r="H387" s="14"/>
      <c r="I387" s="14"/>
      <c r="J387" s="16"/>
      <c r="K387" s="14">
        <f>Table1[[#This Row],[Complexity]]*$A$11+SUM(Table1[[#This Row],[Other 
Integration]:[OEM 
Integration]])*$C$11</f>
        <v>0</v>
      </c>
      <c r="L387" s="7"/>
      <c r="M387" s="7"/>
    </row>
    <row r="388" spans="1:13" x14ac:dyDescent="0.3">
      <c r="A388" s="14">
        <v>372</v>
      </c>
      <c r="B388" s="14"/>
      <c r="C388" s="14"/>
      <c r="D388" s="14"/>
      <c r="E388" s="14"/>
      <c r="F388" s="14"/>
      <c r="G388" s="14"/>
      <c r="H388" s="14"/>
      <c r="I388" s="14"/>
      <c r="J388" s="16"/>
      <c r="K388" s="14">
        <f>Table1[[#This Row],[Complexity]]*$A$11+SUM(Table1[[#This Row],[Other 
Integration]:[OEM 
Integration]])*$C$11</f>
        <v>0</v>
      </c>
      <c r="L388" s="7"/>
      <c r="M388" s="7"/>
    </row>
    <row r="389" spans="1:13" x14ac:dyDescent="0.3">
      <c r="A389" s="14">
        <v>373</v>
      </c>
      <c r="B389" s="14"/>
      <c r="C389" s="14"/>
      <c r="D389" s="14"/>
      <c r="E389" s="14"/>
      <c r="F389" s="14"/>
      <c r="G389" s="14"/>
      <c r="H389" s="14"/>
      <c r="I389" s="14"/>
      <c r="J389" s="16"/>
      <c r="K389" s="14">
        <f>Table1[[#This Row],[Complexity]]*$A$11+SUM(Table1[[#This Row],[Other 
Integration]:[OEM 
Integration]])*$C$11</f>
        <v>0</v>
      </c>
      <c r="L389" s="7"/>
      <c r="M389" s="7"/>
    </row>
    <row r="390" spans="1:13" x14ac:dyDescent="0.3">
      <c r="A390" s="14">
        <v>374</v>
      </c>
      <c r="B390" s="14"/>
      <c r="C390" s="14"/>
      <c r="D390" s="14"/>
      <c r="E390" s="14"/>
      <c r="F390" s="14"/>
      <c r="G390" s="14"/>
      <c r="H390" s="14"/>
      <c r="I390" s="14"/>
      <c r="J390" s="16"/>
      <c r="K390" s="14">
        <f>Table1[[#This Row],[Complexity]]*$A$11+SUM(Table1[[#This Row],[Other 
Integration]:[OEM 
Integration]])*$C$11</f>
        <v>0</v>
      </c>
      <c r="L390" s="7"/>
      <c r="M390" s="7"/>
    </row>
    <row r="391" spans="1:13" x14ac:dyDescent="0.3">
      <c r="A391" s="14">
        <v>375</v>
      </c>
      <c r="B391" s="14"/>
      <c r="C391" s="14"/>
      <c r="D391" s="14"/>
      <c r="E391" s="14"/>
      <c r="F391" s="14"/>
      <c r="G391" s="14"/>
      <c r="H391" s="14"/>
      <c r="I391" s="14"/>
      <c r="J391" s="16"/>
      <c r="K391" s="14">
        <f>Table1[[#This Row],[Complexity]]*$A$11+SUM(Table1[[#This Row],[Other 
Integration]:[OEM 
Integration]])*$C$11</f>
        <v>0</v>
      </c>
      <c r="L391" s="7"/>
      <c r="M391" s="7"/>
    </row>
    <row r="392" spans="1:13" x14ac:dyDescent="0.3">
      <c r="A392" s="14">
        <v>376</v>
      </c>
      <c r="B392" s="14"/>
      <c r="C392" s="14"/>
      <c r="D392" s="14"/>
      <c r="E392" s="14"/>
      <c r="F392" s="14"/>
      <c r="G392" s="14"/>
      <c r="H392" s="14"/>
      <c r="I392" s="14"/>
      <c r="J392" s="16"/>
      <c r="K392" s="14">
        <f>Table1[[#This Row],[Complexity]]*$A$11+SUM(Table1[[#This Row],[Other 
Integration]:[OEM 
Integration]])*$C$11</f>
        <v>0</v>
      </c>
      <c r="L392" s="7"/>
      <c r="M392" s="7"/>
    </row>
    <row r="393" spans="1:13" x14ac:dyDescent="0.3">
      <c r="A393" s="14">
        <v>377</v>
      </c>
      <c r="B393" s="14"/>
      <c r="C393" s="14"/>
      <c r="D393" s="14"/>
      <c r="E393" s="14"/>
      <c r="F393" s="14"/>
      <c r="G393" s="14"/>
      <c r="H393" s="14"/>
      <c r="I393" s="14"/>
      <c r="J393" s="16"/>
      <c r="K393" s="14">
        <f>Table1[[#This Row],[Complexity]]*$A$11+SUM(Table1[[#This Row],[Other 
Integration]:[OEM 
Integration]])*$C$11</f>
        <v>0</v>
      </c>
      <c r="L393" s="7"/>
      <c r="M393" s="7"/>
    </row>
    <row r="394" spans="1:13" x14ac:dyDescent="0.3">
      <c r="A394" s="14">
        <v>378</v>
      </c>
      <c r="B394" s="14"/>
      <c r="C394" s="14"/>
      <c r="D394" s="14"/>
      <c r="E394" s="14"/>
      <c r="F394" s="14"/>
      <c r="G394" s="14"/>
      <c r="H394" s="14"/>
      <c r="I394" s="14"/>
      <c r="J394" s="16"/>
      <c r="K394" s="14">
        <f>Table1[[#This Row],[Complexity]]*$A$11+SUM(Table1[[#This Row],[Other 
Integration]:[OEM 
Integration]])*$C$11</f>
        <v>0</v>
      </c>
      <c r="L394" s="7"/>
      <c r="M394" s="7"/>
    </row>
    <row r="395" spans="1:13" x14ac:dyDescent="0.3">
      <c r="A395" s="14">
        <v>379</v>
      </c>
      <c r="B395" s="14"/>
      <c r="C395" s="14"/>
      <c r="D395" s="14"/>
      <c r="E395" s="14"/>
      <c r="F395" s="14"/>
      <c r="G395" s="14"/>
      <c r="H395" s="14"/>
      <c r="I395" s="14"/>
      <c r="J395" s="16"/>
      <c r="K395" s="14">
        <f>Table1[[#This Row],[Complexity]]*$A$11+SUM(Table1[[#This Row],[Other 
Integration]:[OEM 
Integration]])*$C$11</f>
        <v>0</v>
      </c>
      <c r="L395" s="7"/>
      <c r="M395" s="7"/>
    </row>
    <row r="396" spans="1:13" x14ac:dyDescent="0.3">
      <c r="A396" s="14">
        <v>380</v>
      </c>
      <c r="B396" s="14"/>
      <c r="C396" s="14"/>
      <c r="D396" s="14"/>
      <c r="E396" s="14"/>
      <c r="F396" s="14"/>
      <c r="G396" s="14"/>
      <c r="H396" s="14"/>
      <c r="I396" s="14"/>
      <c r="J396" s="16"/>
      <c r="K396" s="14">
        <f>Table1[[#This Row],[Complexity]]*$A$11+SUM(Table1[[#This Row],[Other 
Integration]:[OEM 
Integration]])*$C$11</f>
        <v>0</v>
      </c>
      <c r="L396" s="7"/>
      <c r="M396" s="7"/>
    </row>
    <row r="397" spans="1:13" x14ac:dyDescent="0.3">
      <c r="A397" s="14">
        <v>381</v>
      </c>
      <c r="B397" s="14"/>
      <c r="C397" s="14"/>
      <c r="D397" s="14"/>
      <c r="E397" s="14"/>
      <c r="F397" s="14"/>
      <c r="G397" s="14"/>
      <c r="H397" s="14"/>
      <c r="I397" s="14"/>
      <c r="J397" s="16"/>
      <c r="K397" s="14">
        <f>Table1[[#This Row],[Complexity]]*$A$11+SUM(Table1[[#This Row],[Other 
Integration]:[OEM 
Integration]])*$C$11</f>
        <v>0</v>
      </c>
      <c r="L397" s="7"/>
      <c r="M397" s="7"/>
    </row>
    <row r="398" spans="1:13" x14ac:dyDescent="0.3">
      <c r="A398" s="14">
        <v>382</v>
      </c>
      <c r="B398" s="14"/>
      <c r="C398" s="14"/>
      <c r="D398" s="14"/>
      <c r="E398" s="14"/>
      <c r="F398" s="14"/>
      <c r="G398" s="14"/>
      <c r="H398" s="14"/>
      <c r="I398" s="14"/>
      <c r="J398" s="16"/>
      <c r="K398" s="14">
        <f>Table1[[#This Row],[Complexity]]*$A$11+SUM(Table1[[#This Row],[Other 
Integration]:[OEM 
Integration]])*$C$11</f>
        <v>0</v>
      </c>
      <c r="L398" s="7"/>
      <c r="M398" s="7"/>
    </row>
    <row r="399" spans="1:13" x14ac:dyDescent="0.3">
      <c r="A399" s="14">
        <v>383</v>
      </c>
      <c r="B399" s="14"/>
      <c r="C399" s="14"/>
      <c r="D399" s="14"/>
      <c r="E399" s="14"/>
      <c r="F399" s="14"/>
      <c r="G399" s="14"/>
      <c r="H399" s="14"/>
      <c r="I399" s="14"/>
      <c r="J399" s="16"/>
      <c r="K399" s="14">
        <f>Table1[[#This Row],[Complexity]]*$A$11+SUM(Table1[[#This Row],[Other 
Integration]:[OEM 
Integration]])*$C$11</f>
        <v>0</v>
      </c>
      <c r="L399" s="7"/>
      <c r="M399" s="7"/>
    </row>
    <row r="400" spans="1:13" x14ac:dyDescent="0.3">
      <c r="A400" s="14">
        <v>384</v>
      </c>
      <c r="B400" s="14"/>
      <c r="C400" s="14"/>
      <c r="D400" s="14"/>
      <c r="E400" s="14"/>
      <c r="F400" s="14"/>
      <c r="G400" s="14"/>
      <c r="H400" s="14"/>
      <c r="I400" s="14"/>
      <c r="J400" s="16"/>
      <c r="K400" s="14">
        <f>Table1[[#This Row],[Complexity]]*$A$11+SUM(Table1[[#This Row],[Other 
Integration]:[OEM 
Integration]])*$C$11</f>
        <v>0</v>
      </c>
      <c r="L400" s="7"/>
      <c r="M400" s="7"/>
    </row>
    <row r="401" spans="1:13" x14ac:dyDescent="0.3">
      <c r="A401" s="14">
        <v>385</v>
      </c>
      <c r="B401" s="14"/>
      <c r="C401" s="14"/>
      <c r="D401" s="14"/>
      <c r="E401" s="14"/>
      <c r="F401" s="14"/>
      <c r="G401" s="14"/>
      <c r="H401" s="14"/>
      <c r="I401" s="14"/>
      <c r="J401" s="16"/>
      <c r="K401" s="14">
        <f>Table1[[#This Row],[Complexity]]*$A$11+SUM(Table1[[#This Row],[Other 
Integration]:[OEM 
Integration]])*$C$11</f>
        <v>0</v>
      </c>
      <c r="L401" s="7"/>
      <c r="M401" s="7"/>
    </row>
    <row r="402" spans="1:13" x14ac:dyDescent="0.3">
      <c r="A402" s="14">
        <v>386</v>
      </c>
      <c r="B402" s="14"/>
      <c r="C402" s="14"/>
      <c r="D402" s="14"/>
      <c r="E402" s="14"/>
      <c r="F402" s="14"/>
      <c r="G402" s="14"/>
      <c r="H402" s="14"/>
      <c r="I402" s="14"/>
      <c r="J402" s="16"/>
      <c r="K402" s="14">
        <f>Table1[[#This Row],[Complexity]]*$A$11+SUM(Table1[[#This Row],[Other 
Integration]:[OEM 
Integration]])*$C$11</f>
        <v>0</v>
      </c>
      <c r="L402" s="7"/>
      <c r="M402" s="7"/>
    </row>
    <row r="403" spans="1:13" x14ac:dyDescent="0.3">
      <c r="A403" s="14">
        <v>387</v>
      </c>
      <c r="B403" s="14"/>
      <c r="C403" s="14"/>
      <c r="D403" s="14"/>
      <c r="E403" s="14"/>
      <c r="F403" s="14"/>
      <c r="G403" s="14"/>
      <c r="H403" s="14"/>
      <c r="I403" s="14"/>
      <c r="J403" s="16"/>
      <c r="K403" s="14">
        <f>Table1[[#This Row],[Complexity]]*$A$11+SUM(Table1[[#This Row],[Other 
Integration]:[OEM 
Integration]])*$C$11</f>
        <v>0</v>
      </c>
      <c r="L403" s="7"/>
      <c r="M403" s="7"/>
    </row>
    <row r="404" spans="1:13" x14ac:dyDescent="0.3">
      <c r="A404" s="14">
        <v>388</v>
      </c>
      <c r="B404" s="14"/>
      <c r="C404" s="14"/>
      <c r="D404" s="14"/>
      <c r="E404" s="14"/>
      <c r="F404" s="14"/>
      <c r="G404" s="14"/>
      <c r="H404" s="14"/>
      <c r="I404" s="14"/>
      <c r="J404" s="16"/>
      <c r="K404" s="14">
        <f>Table1[[#This Row],[Complexity]]*$A$11+SUM(Table1[[#This Row],[Other 
Integration]:[OEM 
Integration]])*$C$11</f>
        <v>0</v>
      </c>
      <c r="L404" s="7"/>
      <c r="M404" s="7"/>
    </row>
    <row r="405" spans="1:13" x14ac:dyDescent="0.3">
      <c r="A405" s="14">
        <v>389</v>
      </c>
      <c r="B405" s="14"/>
      <c r="C405" s="14"/>
      <c r="D405" s="14"/>
      <c r="E405" s="14"/>
      <c r="F405" s="14"/>
      <c r="G405" s="14"/>
      <c r="H405" s="14"/>
      <c r="I405" s="14"/>
      <c r="J405" s="16"/>
      <c r="K405" s="14">
        <f>Table1[[#This Row],[Complexity]]*$A$11+SUM(Table1[[#This Row],[Other 
Integration]:[OEM 
Integration]])*$C$11</f>
        <v>0</v>
      </c>
      <c r="L405" s="7"/>
      <c r="M405" s="7"/>
    </row>
    <row r="406" spans="1:13" x14ac:dyDescent="0.3">
      <c r="A406" s="14">
        <v>390</v>
      </c>
      <c r="B406" s="14"/>
      <c r="C406" s="14"/>
      <c r="D406" s="14"/>
      <c r="E406" s="14"/>
      <c r="F406" s="14"/>
      <c r="G406" s="14"/>
      <c r="H406" s="14"/>
      <c r="I406" s="14"/>
      <c r="J406" s="16"/>
      <c r="K406" s="14">
        <f>Table1[[#This Row],[Complexity]]*$A$11+SUM(Table1[[#This Row],[Other 
Integration]:[OEM 
Integration]])*$C$11</f>
        <v>0</v>
      </c>
      <c r="L406" s="7"/>
      <c r="M406" s="7"/>
    </row>
    <row r="407" spans="1:13" x14ac:dyDescent="0.3">
      <c r="A407" s="14">
        <v>391</v>
      </c>
      <c r="B407" s="14"/>
      <c r="C407" s="14"/>
      <c r="D407" s="14"/>
      <c r="E407" s="14"/>
      <c r="F407" s="14"/>
      <c r="G407" s="14"/>
      <c r="H407" s="14"/>
      <c r="I407" s="14"/>
      <c r="J407" s="16"/>
      <c r="K407" s="14">
        <f>Table1[[#This Row],[Complexity]]*$A$11+SUM(Table1[[#This Row],[Other 
Integration]:[OEM 
Integration]])*$C$11</f>
        <v>0</v>
      </c>
      <c r="L407" s="7"/>
      <c r="M407" s="7"/>
    </row>
    <row r="408" spans="1:13" x14ac:dyDescent="0.3">
      <c r="A408" s="14">
        <v>392</v>
      </c>
      <c r="B408" s="14"/>
      <c r="C408" s="14"/>
      <c r="D408" s="14"/>
      <c r="E408" s="14"/>
      <c r="F408" s="14"/>
      <c r="G408" s="14"/>
      <c r="H408" s="14"/>
      <c r="I408" s="14"/>
      <c r="J408" s="16"/>
      <c r="K408" s="14">
        <f>Table1[[#This Row],[Complexity]]*$A$11+SUM(Table1[[#This Row],[Other 
Integration]:[OEM 
Integration]])*$C$11</f>
        <v>0</v>
      </c>
      <c r="L408" s="7"/>
      <c r="M408" s="7"/>
    </row>
    <row r="409" spans="1:13" x14ac:dyDescent="0.3">
      <c r="A409" s="14">
        <v>393</v>
      </c>
      <c r="B409" s="14"/>
      <c r="C409" s="14"/>
      <c r="D409" s="14"/>
      <c r="E409" s="14"/>
      <c r="F409" s="14"/>
      <c r="G409" s="14"/>
      <c r="H409" s="14"/>
      <c r="I409" s="14"/>
      <c r="J409" s="16"/>
      <c r="K409" s="14">
        <f>Table1[[#This Row],[Complexity]]*$A$11+SUM(Table1[[#This Row],[Other 
Integration]:[OEM 
Integration]])*$C$11</f>
        <v>0</v>
      </c>
      <c r="L409" s="7"/>
      <c r="M409" s="7"/>
    </row>
    <row r="410" spans="1:13" x14ac:dyDescent="0.3">
      <c r="A410" s="14">
        <v>394</v>
      </c>
      <c r="B410" s="14"/>
      <c r="C410" s="14"/>
      <c r="D410" s="14"/>
      <c r="E410" s="14"/>
      <c r="F410" s="14"/>
      <c r="G410" s="14"/>
      <c r="H410" s="14"/>
      <c r="I410" s="14"/>
      <c r="J410" s="16"/>
      <c r="K410" s="14">
        <f>Table1[[#This Row],[Complexity]]*$A$11+SUM(Table1[[#This Row],[Other 
Integration]:[OEM 
Integration]])*$C$11</f>
        <v>0</v>
      </c>
      <c r="L410" s="7"/>
      <c r="M410" s="7"/>
    </row>
    <row r="411" spans="1:13" x14ac:dyDescent="0.3">
      <c r="A411" s="14">
        <v>395</v>
      </c>
      <c r="B411" s="14"/>
      <c r="C411" s="14"/>
      <c r="D411" s="14"/>
      <c r="E411" s="14"/>
      <c r="F411" s="14"/>
      <c r="G411" s="14"/>
      <c r="H411" s="14"/>
      <c r="I411" s="14"/>
      <c r="J411" s="16"/>
      <c r="K411" s="14">
        <f>Table1[[#This Row],[Complexity]]*$A$11+SUM(Table1[[#This Row],[Other 
Integration]:[OEM 
Integration]])*$C$11</f>
        <v>0</v>
      </c>
      <c r="L411" s="7"/>
      <c r="M411" s="7"/>
    </row>
    <row r="412" spans="1:13" x14ac:dyDescent="0.3">
      <c r="A412" s="14">
        <v>396</v>
      </c>
      <c r="B412" s="14"/>
      <c r="C412" s="14"/>
      <c r="D412" s="14"/>
      <c r="E412" s="14"/>
      <c r="F412" s="14"/>
      <c r="G412" s="14"/>
      <c r="H412" s="14"/>
      <c r="I412" s="14"/>
      <c r="J412" s="16"/>
      <c r="K412" s="14">
        <f>Table1[[#This Row],[Complexity]]*$A$11+SUM(Table1[[#This Row],[Other 
Integration]:[OEM 
Integration]])*$C$11</f>
        <v>0</v>
      </c>
      <c r="L412" s="7"/>
      <c r="M412" s="7"/>
    </row>
    <row r="413" spans="1:13" x14ac:dyDescent="0.3">
      <c r="A413" s="14">
        <v>397</v>
      </c>
      <c r="B413" s="14"/>
      <c r="C413" s="14"/>
      <c r="D413" s="14"/>
      <c r="E413" s="14"/>
      <c r="F413" s="14"/>
      <c r="G413" s="14"/>
      <c r="H413" s="14"/>
      <c r="I413" s="14"/>
      <c r="J413" s="16"/>
      <c r="K413" s="14">
        <f>Table1[[#This Row],[Complexity]]*$A$11+SUM(Table1[[#This Row],[Other 
Integration]:[OEM 
Integration]])*$C$11</f>
        <v>0</v>
      </c>
      <c r="L413" s="7"/>
      <c r="M413" s="7"/>
    </row>
    <row r="414" spans="1:13" x14ac:dyDescent="0.3">
      <c r="A414" s="14">
        <v>398</v>
      </c>
      <c r="B414" s="14"/>
      <c r="C414" s="14"/>
      <c r="D414" s="14"/>
      <c r="E414" s="14"/>
      <c r="F414" s="14"/>
      <c r="G414" s="14"/>
      <c r="H414" s="14"/>
      <c r="I414" s="14"/>
      <c r="J414" s="16"/>
      <c r="K414" s="14">
        <f>Table1[[#This Row],[Complexity]]*$A$11+SUM(Table1[[#This Row],[Other 
Integration]:[OEM 
Integration]])*$C$11</f>
        <v>0</v>
      </c>
      <c r="L414" s="7"/>
      <c r="M414" s="7"/>
    </row>
    <row r="415" spans="1:13" x14ac:dyDescent="0.3">
      <c r="A415" s="14">
        <v>399</v>
      </c>
      <c r="B415" s="14"/>
      <c r="C415" s="14"/>
      <c r="D415" s="14"/>
      <c r="E415" s="14"/>
      <c r="F415" s="14"/>
      <c r="G415" s="14"/>
      <c r="H415" s="14"/>
      <c r="I415" s="14"/>
      <c r="J415" s="16"/>
      <c r="K415" s="14">
        <f>Table1[[#This Row],[Complexity]]*$A$11+SUM(Table1[[#This Row],[Other 
Integration]:[OEM 
Integration]])*$C$11</f>
        <v>0</v>
      </c>
      <c r="L415" s="7"/>
      <c r="M415" s="7"/>
    </row>
    <row r="416" spans="1:13" x14ac:dyDescent="0.3">
      <c r="A416" s="14">
        <v>400</v>
      </c>
      <c r="B416" s="14"/>
      <c r="C416" s="14"/>
      <c r="D416" s="14"/>
      <c r="E416" s="14"/>
      <c r="F416" s="14"/>
      <c r="G416" s="14"/>
      <c r="H416" s="14"/>
      <c r="I416" s="14"/>
      <c r="J416" s="16"/>
      <c r="K416" s="14">
        <f>Table1[[#This Row],[Complexity]]*$A$11+SUM(Table1[[#This Row],[Other 
Integration]:[OEM 
Integration]])*$C$11</f>
        <v>0</v>
      </c>
      <c r="L416" s="7"/>
      <c r="M416" s="7"/>
    </row>
    <row r="417" spans="1:13" x14ac:dyDescent="0.3">
      <c r="A417" s="14">
        <v>401</v>
      </c>
      <c r="B417" s="14"/>
      <c r="C417" s="14"/>
      <c r="D417" s="14"/>
      <c r="E417" s="14"/>
      <c r="F417" s="14"/>
      <c r="G417" s="14"/>
      <c r="H417" s="14"/>
      <c r="I417" s="14"/>
      <c r="J417" s="16"/>
      <c r="K417" s="14">
        <f>Table1[[#This Row],[Complexity]]*$A$11+SUM(Table1[[#This Row],[Other 
Integration]:[OEM 
Integration]])*$C$11</f>
        <v>0</v>
      </c>
      <c r="L417" s="7"/>
      <c r="M417" s="7"/>
    </row>
    <row r="418" spans="1:13" x14ac:dyDescent="0.3">
      <c r="A418" s="14">
        <v>402</v>
      </c>
      <c r="B418" s="14"/>
      <c r="C418" s="14"/>
      <c r="D418" s="14"/>
      <c r="E418" s="14"/>
      <c r="F418" s="14"/>
      <c r="G418" s="14"/>
      <c r="H418" s="14"/>
      <c r="I418" s="14"/>
      <c r="J418" s="16"/>
      <c r="K418" s="14">
        <f>Table1[[#This Row],[Complexity]]*$A$11+SUM(Table1[[#This Row],[Other 
Integration]:[OEM 
Integration]])*$C$11</f>
        <v>0</v>
      </c>
      <c r="L418" s="7"/>
      <c r="M418" s="7"/>
    </row>
    <row r="419" spans="1:13" x14ac:dyDescent="0.3">
      <c r="A419" s="14">
        <v>403</v>
      </c>
      <c r="B419" s="14"/>
      <c r="C419" s="14"/>
      <c r="D419" s="14"/>
      <c r="E419" s="14"/>
      <c r="F419" s="14"/>
      <c r="G419" s="14"/>
      <c r="H419" s="14"/>
      <c r="I419" s="14"/>
      <c r="J419" s="16"/>
      <c r="K419" s="14">
        <f>Table1[[#This Row],[Complexity]]*$A$11+SUM(Table1[[#This Row],[Other 
Integration]:[OEM 
Integration]])*$C$11</f>
        <v>0</v>
      </c>
      <c r="L419" s="7"/>
      <c r="M419" s="7"/>
    </row>
    <row r="420" spans="1:13" x14ac:dyDescent="0.3">
      <c r="A420" s="14">
        <v>404</v>
      </c>
      <c r="B420" s="14"/>
      <c r="C420" s="14"/>
      <c r="D420" s="14"/>
      <c r="E420" s="14"/>
      <c r="F420" s="14"/>
      <c r="G420" s="14"/>
      <c r="H420" s="14"/>
      <c r="I420" s="14"/>
      <c r="J420" s="16"/>
      <c r="K420" s="14">
        <f>Table1[[#This Row],[Complexity]]*$A$11+SUM(Table1[[#This Row],[Other 
Integration]:[OEM 
Integration]])*$C$11</f>
        <v>0</v>
      </c>
      <c r="L420" s="7"/>
      <c r="M420" s="7"/>
    </row>
    <row r="421" spans="1:13" x14ac:dyDescent="0.3">
      <c r="A421" s="14">
        <v>405</v>
      </c>
      <c r="B421" s="14"/>
      <c r="C421" s="14"/>
      <c r="D421" s="14"/>
      <c r="E421" s="14"/>
      <c r="F421" s="14"/>
      <c r="G421" s="14"/>
      <c r="H421" s="14"/>
      <c r="I421" s="14"/>
      <c r="J421" s="16"/>
      <c r="K421" s="14">
        <f>Table1[[#This Row],[Complexity]]*$A$11+SUM(Table1[[#This Row],[Other 
Integration]:[OEM 
Integration]])*$C$11</f>
        <v>0</v>
      </c>
      <c r="L421" s="7"/>
      <c r="M421" s="7"/>
    </row>
    <row r="422" spans="1:13" x14ac:dyDescent="0.3">
      <c r="A422" s="14">
        <v>406</v>
      </c>
      <c r="B422" s="14"/>
      <c r="C422" s="14"/>
      <c r="D422" s="14"/>
      <c r="E422" s="14"/>
      <c r="F422" s="14"/>
      <c r="G422" s="14"/>
      <c r="H422" s="14"/>
      <c r="I422" s="14"/>
      <c r="J422" s="16"/>
      <c r="K422" s="14">
        <f>Table1[[#This Row],[Complexity]]*$A$11+SUM(Table1[[#This Row],[Other 
Integration]:[OEM 
Integration]])*$C$11</f>
        <v>0</v>
      </c>
      <c r="L422" s="7"/>
      <c r="M422" s="7"/>
    </row>
    <row r="423" spans="1:13" x14ac:dyDescent="0.3">
      <c r="A423" s="14">
        <v>407</v>
      </c>
      <c r="B423" s="14"/>
      <c r="C423" s="14"/>
      <c r="D423" s="14"/>
      <c r="E423" s="14"/>
      <c r="F423" s="14"/>
      <c r="G423" s="14"/>
      <c r="H423" s="14"/>
      <c r="I423" s="14"/>
      <c r="J423" s="16"/>
      <c r="K423" s="14">
        <f>Table1[[#This Row],[Complexity]]*$A$11+SUM(Table1[[#This Row],[Other 
Integration]:[OEM 
Integration]])*$C$11</f>
        <v>0</v>
      </c>
      <c r="L423" s="7"/>
      <c r="M423" s="7"/>
    </row>
    <row r="424" spans="1:13" x14ac:dyDescent="0.3">
      <c r="A424" s="14">
        <v>408</v>
      </c>
      <c r="B424" s="14"/>
      <c r="C424" s="14"/>
      <c r="D424" s="14"/>
      <c r="E424" s="14"/>
      <c r="F424" s="14"/>
      <c r="G424" s="14"/>
      <c r="H424" s="14"/>
      <c r="I424" s="14"/>
      <c r="J424" s="16"/>
      <c r="K424" s="14">
        <f>Table1[[#This Row],[Complexity]]*$A$11+SUM(Table1[[#This Row],[Other 
Integration]:[OEM 
Integration]])*$C$11</f>
        <v>0</v>
      </c>
      <c r="L424" s="7"/>
      <c r="M424" s="7"/>
    </row>
    <row r="425" spans="1:13" x14ac:dyDescent="0.3">
      <c r="A425" s="14">
        <v>409</v>
      </c>
      <c r="B425" s="14"/>
      <c r="C425" s="14"/>
      <c r="D425" s="14"/>
      <c r="E425" s="14"/>
      <c r="F425" s="14"/>
      <c r="G425" s="14"/>
      <c r="H425" s="14"/>
      <c r="I425" s="14"/>
      <c r="J425" s="16"/>
      <c r="K425" s="14">
        <f>Table1[[#This Row],[Complexity]]*$A$11+SUM(Table1[[#This Row],[Other 
Integration]:[OEM 
Integration]])*$C$11</f>
        <v>0</v>
      </c>
      <c r="L425" s="7"/>
      <c r="M425" s="7"/>
    </row>
    <row r="426" spans="1:13" x14ac:dyDescent="0.3">
      <c r="A426" s="14">
        <v>410</v>
      </c>
      <c r="B426" s="14"/>
      <c r="C426" s="14"/>
      <c r="D426" s="14"/>
      <c r="E426" s="14"/>
      <c r="F426" s="14"/>
      <c r="G426" s="14"/>
      <c r="H426" s="14"/>
      <c r="I426" s="14"/>
      <c r="J426" s="16"/>
      <c r="K426" s="14">
        <f>Table1[[#This Row],[Complexity]]*$A$11+SUM(Table1[[#This Row],[Other 
Integration]:[OEM 
Integration]])*$C$11</f>
        <v>0</v>
      </c>
      <c r="L426" s="7"/>
      <c r="M426" s="7"/>
    </row>
    <row r="427" spans="1:13" x14ac:dyDescent="0.3">
      <c r="A427" s="14">
        <v>411</v>
      </c>
      <c r="B427" s="14"/>
      <c r="C427" s="14"/>
      <c r="D427" s="14"/>
      <c r="E427" s="14"/>
      <c r="F427" s="14"/>
      <c r="G427" s="14"/>
      <c r="H427" s="14"/>
      <c r="I427" s="14"/>
      <c r="J427" s="16"/>
      <c r="K427" s="14">
        <f>Table1[[#This Row],[Complexity]]*$A$11+SUM(Table1[[#This Row],[Other 
Integration]:[OEM 
Integration]])*$C$11</f>
        <v>0</v>
      </c>
      <c r="L427" s="7"/>
      <c r="M427" s="7"/>
    </row>
    <row r="428" spans="1:13" x14ac:dyDescent="0.3">
      <c r="A428" s="14">
        <v>412</v>
      </c>
      <c r="B428" s="14"/>
      <c r="C428" s="14"/>
      <c r="D428" s="14"/>
      <c r="E428" s="14"/>
      <c r="F428" s="14"/>
      <c r="G428" s="14"/>
      <c r="H428" s="14"/>
      <c r="I428" s="14"/>
      <c r="J428" s="16"/>
      <c r="K428" s="14">
        <f>Table1[[#This Row],[Complexity]]*$A$11+SUM(Table1[[#This Row],[Other 
Integration]:[OEM 
Integration]])*$C$11</f>
        <v>0</v>
      </c>
      <c r="L428" s="7"/>
      <c r="M428" s="7"/>
    </row>
    <row r="429" spans="1:13" x14ac:dyDescent="0.3">
      <c r="A429" s="14">
        <v>413</v>
      </c>
      <c r="B429" s="14"/>
      <c r="C429" s="14"/>
      <c r="D429" s="14"/>
      <c r="E429" s="14"/>
      <c r="F429" s="14"/>
      <c r="G429" s="14"/>
      <c r="H429" s="14"/>
      <c r="I429" s="14"/>
      <c r="J429" s="16"/>
      <c r="K429" s="14">
        <f>Table1[[#This Row],[Complexity]]*$A$11+SUM(Table1[[#This Row],[Other 
Integration]:[OEM 
Integration]])*$C$11</f>
        <v>0</v>
      </c>
      <c r="L429" s="7"/>
      <c r="M429" s="7"/>
    </row>
    <row r="430" spans="1:13" x14ac:dyDescent="0.3">
      <c r="A430" s="14">
        <v>414</v>
      </c>
      <c r="B430" s="14"/>
      <c r="C430" s="14"/>
      <c r="D430" s="14"/>
      <c r="E430" s="14"/>
      <c r="F430" s="14"/>
      <c r="G430" s="14"/>
      <c r="H430" s="14"/>
      <c r="I430" s="14"/>
      <c r="J430" s="16"/>
      <c r="K430" s="14">
        <f>Table1[[#This Row],[Complexity]]*$A$11+SUM(Table1[[#This Row],[Other 
Integration]:[OEM 
Integration]])*$C$11</f>
        <v>0</v>
      </c>
      <c r="L430" s="7"/>
      <c r="M430" s="7"/>
    </row>
    <row r="431" spans="1:13" x14ac:dyDescent="0.3">
      <c r="A431" s="14">
        <v>415</v>
      </c>
      <c r="B431" s="14"/>
      <c r="C431" s="14"/>
      <c r="D431" s="14"/>
      <c r="E431" s="14"/>
      <c r="F431" s="14"/>
      <c r="G431" s="14"/>
      <c r="H431" s="14"/>
      <c r="I431" s="14"/>
      <c r="J431" s="16"/>
      <c r="K431" s="14">
        <f>Table1[[#This Row],[Complexity]]*$A$11+SUM(Table1[[#This Row],[Other 
Integration]:[OEM 
Integration]])*$C$11</f>
        <v>0</v>
      </c>
      <c r="L431" s="7"/>
      <c r="M431" s="7"/>
    </row>
    <row r="432" spans="1:13" x14ac:dyDescent="0.3">
      <c r="A432" s="14">
        <v>416</v>
      </c>
      <c r="B432" s="14"/>
      <c r="C432" s="14"/>
      <c r="D432" s="14"/>
      <c r="E432" s="14"/>
      <c r="F432" s="14"/>
      <c r="G432" s="14"/>
      <c r="H432" s="14"/>
      <c r="I432" s="14"/>
      <c r="J432" s="16"/>
      <c r="K432" s="14">
        <f>Table1[[#This Row],[Complexity]]*$A$11+SUM(Table1[[#This Row],[Other 
Integration]:[OEM 
Integration]])*$C$11</f>
        <v>0</v>
      </c>
      <c r="L432" s="7"/>
      <c r="M432" s="7"/>
    </row>
    <row r="433" spans="1:13" x14ac:dyDescent="0.3">
      <c r="A433" s="14">
        <v>417</v>
      </c>
      <c r="B433" s="14"/>
      <c r="C433" s="14"/>
      <c r="D433" s="14"/>
      <c r="E433" s="14"/>
      <c r="F433" s="14"/>
      <c r="G433" s="14"/>
      <c r="H433" s="14"/>
      <c r="I433" s="14"/>
      <c r="J433" s="16"/>
      <c r="K433" s="14">
        <f>Table1[[#This Row],[Complexity]]*$A$11+SUM(Table1[[#This Row],[Other 
Integration]:[OEM 
Integration]])*$C$11</f>
        <v>0</v>
      </c>
      <c r="L433" s="7"/>
      <c r="M433" s="7"/>
    </row>
    <row r="434" spans="1:13" x14ac:dyDescent="0.3">
      <c r="A434" s="14">
        <v>418</v>
      </c>
      <c r="B434" s="14"/>
      <c r="C434" s="14"/>
      <c r="D434" s="14"/>
      <c r="E434" s="14"/>
      <c r="F434" s="14"/>
      <c r="G434" s="14"/>
      <c r="H434" s="14"/>
      <c r="I434" s="14"/>
      <c r="J434" s="16"/>
      <c r="K434" s="14">
        <f>Table1[[#This Row],[Complexity]]*$A$11+SUM(Table1[[#This Row],[Other 
Integration]:[OEM 
Integration]])*$C$11</f>
        <v>0</v>
      </c>
      <c r="L434" s="7"/>
      <c r="M434" s="7"/>
    </row>
    <row r="435" spans="1:13" x14ac:dyDescent="0.3">
      <c r="A435" s="14">
        <v>419</v>
      </c>
      <c r="B435" s="14"/>
      <c r="C435" s="14"/>
      <c r="D435" s="14"/>
      <c r="E435" s="14"/>
      <c r="F435" s="14"/>
      <c r="G435" s="14"/>
      <c r="H435" s="14"/>
      <c r="I435" s="14"/>
      <c r="J435" s="16"/>
      <c r="K435" s="14">
        <f>Table1[[#This Row],[Complexity]]*$A$11+SUM(Table1[[#This Row],[Other 
Integration]:[OEM 
Integration]])*$C$11</f>
        <v>0</v>
      </c>
      <c r="L435" s="7"/>
      <c r="M435" s="7"/>
    </row>
    <row r="436" spans="1:13" x14ac:dyDescent="0.3">
      <c r="A436" s="14">
        <v>420</v>
      </c>
      <c r="B436" s="14"/>
      <c r="C436" s="14"/>
      <c r="D436" s="14"/>
      <c r="E436" s="14"/>
      <c r="F436" s="14"/>
      <c r="G436" s="14"/>
      <c r="H436" s="14"/>
      <c r="I436" s="14"/>
      <c r="J436" s="16"/>
      <c r="K436" s="14">
        <f>Table1[[#This Row],[Complexity]]*$A$11+SUM(Table1[[#This Row],[Other 
Integration]:[OEM 
Integration]])*$C$11</f>
        <v>0</v>
      </c>
      <c r="L436" s="7"/>
      <c r="M436" s="7"/>
    </row>
    <row r="437" spans="1:13" x14ac:dyDescent="0.3">
      <c r="A437" s="14">
        <v>421</v>
      </c>
      <c r="B437" s="14"/>
      <c r="C437" s="14"/>
      <c r="D437" s="14"/>
      <c r="E437" s="14"/>
      <c r="F437" s="14"/>
      <c r="G437" s="14"/>
      <c r="H437" s="14"/>
      <c r="I437" s="14"/>
      <c r="J437" s="16"/>
      <c r="K437" s="14">
        <f>Table1[[#This Row],[Complexity]]*$A$11+SUM(Table1[[#This Row],[Other 
Integration]:[OEM 
Integration]])*$C$11</f>
        <v>0</v>
      </c>
      <c r="L437" s="7"/>
      <c r="M437" s="7"/>
    </row>
    <row r="438" spans="1:13" x14ac:dyDescent="0.3">
      <c r="A438" s="14">
        <v>422</v>
      </c>
      <c r="B438" s="14"/>
      <c r="C438" s="14"/>
      <c r="D438" s="14"/>
      <c r="E438" s="14"/>
      <c r="F438" s="14"/>
      <c r="G438" s="14"/>
      <c r="H438" s="14"/>
      <c r="I438" s="14"/>
      <c r="J438" s="16"/>
      <c r="K438" s="14">
        <f>Table1[[#This Row],[Complexity]]*$A$11+SUM(Table1[[#This Row],[Other 
Integration]:[OEM 
Integration]])*$C$11</f>
        <v>0</v>
      </c>
      <c r="L438" s="7"/>
      <c r="M438" s="7"/>
    </row>
    <row r="439" spans="1:13" x14ac:dyDescent="0.3">
      <c r="A439" s="14">
        <v>423</v>
      </c>
      <c r="B439" s="14"/>
      <c r="C439" s="14"/>
      <c r="D439" s="14"/>
      <c r="E439" s="14"/>
      <c r="F439" s="14"/>
      <c r="G439" s="14"/>
      <c r="H439" s="14"/>
      <c r="I439" s="14"/>
      <c r="J439" s="16"/>
      <c r="K439" s="14">
        <f>Table1[[#This Row],[Complexity]]*$A$11+SUM(Table1[[#This Row],[Other 
Integration]:[OEM 
Integration]])*$C$11</f>
        <v>0</v>
      </c>
      <c r="L439" s="7"/>
      <c r="M439" s="7"/>
    </row>
    <row r="440" spans="1:13" x14ac:dyDescent="0.3">
      <c r="A440" s="14">
        <v>424</v>
      </c>
      <c r="B440" s="14"/>
      <c r="C440" s="14"/>
      <c r="D440" s="14"/>
      <c r="E440" s="14"/>
      <c r="F440" s="14"/>
      <c r="G440" s="14"/>
      <c r="H440" s="14"/>
      <c r="I440" s="14"/>
      <c r="J440" s="16"/>
      <c r="K440" s="14">
        <f>Table1[[#This Row],[Complexity]]*$A$11+SUM(Table1[[#This Row],[Other 
Integration]:[OEM 
Integration]])*$C$11</f>
        <v>0</v>
      </c>
      <c r="L440" s="7"/>
      <c r="M440" s="7"/>
    </row>
    <row r="441" spans="1:13" x14ac:dyDescent="0.3">
      <c r="A441" s="14">
        <v>425</v>
      </c>
      <c r="B441" s="14"/>
      <c r="C441" s="14"/>
      <c r="D441" s="14"/>
      <c r="E441" s="14"/>
      <c r="F441" s="14"/>
      <c r="G441" s="14"/>
      <c r="H441" s="14"/>
      <c r="I441" s="14"/>
      <c r="J441" s="16"/>
      <c r="K441" s="14">
        <f>Table1[[#This Row],[Complexity]]*$A$11+SUM(Table1[[#This Row],[Other 
Integration]:[OEM 
Integration]])*$C$11</f>
        <v>0</v>
      </c>
      <c r="L441" s="7"/>
      <c r="M441" s="7"/>
    </row>
    <row r="442" spans="1:13" x14ac:dyDescent="0.3">
      <c r="A442" s="14">
        <v>426</v>
      </c>
      <c r="B442" s="14"/>
      <c r="C442" s="14"/>
      <c r="D442" s="14"/>
      <c r="E442" s="14"/>
      <c r="F442" s="14"/>
      <c r="G442" s="14"/>
      <c r="H442" s="14"/>
      <c r="I442" s="14"/>
      <c r="J442" s="16"/>
      <c r="K442" s="14">
        <f>Table1[[#This Row],[Complexity]]*$A$11+SUM(Table1[[#This Row],[Other 
Integration]:[OEM 
Integration]])*$C$11</f>
        <v>0</v>
      </c>
      <c r="L442" s="7"/>
      <c r="M442" s="7"/>
    </row>
    <row r="443" spans="1:13" x14ac:dyDescent="0.3">
      <c r="A443" s="14">
        <v>427</v>
      </c>
      <c r="B443" s="14"/>
      <c r="C443" s="14"/>
      <c r="D443" s="14"/>
      <c r="E443" s="14"/>
      <c r="F443" s="14"/>
      <c r="G443" s="14"/>
      <c r="H443" s="14"/>
      <c r="I443" s="14"/>
      <c r="J443" s="16"/>
      <c r="K443" s="14">
        <f>Table1[[#This Row],[Complexity]]*$A$11+SUM(Table1[[#This Row],[Other 
Integration]:[OEM 
Integration]])*$C$11</f>
        <v>0</v>
      </c>
      <c r="L443" s="7"/>
      <c r="M443" s="7"/>
    </row>
    <row r="444" spans="1:13" x14ac:dyDescent="0.3">
      <c r="A444" s="14">
        <v>428</v>
      </c>
      <c r="B444" s="14"/>
      <c r="C444" s="14"/>
      <c r="D444" s="14"/>
      <c r="E444" s="14"/>
      <c r="F444" s="14"/>
      <c r="G444" s="14"/>
      <c r="H444" s="14"/>
      <c r="I444" s="14"/>
      <c r="J444" s="16"/>
      <c r="K444" s="14">
        <f>Table1[[#This Row],[Complexity]]*$A$11+SUM(Table1[[#This Row],[Other 
Integration]:[OEM 
Integration]])*$C$11</f>
        <v>0</v>
      </c>
      <c r="L444" s="7"/>
      <c r="M444" s="7"/>
    </row>
    <row r="445" spans="1:13" x14ac:dyDescent="0.3">
      <c r="A445" s="14">
        <v>429</v>
      </c>
      <c r="B445" s="14"/>
      <c r="C445" s="14"/>
      <c r="D445" s="14"/>
      <c r="E445" s="14"/>
      <c r="F445" s="14"/>
      <c r="G445" s="14"/>
      <c r="H445" s="14"/>
      <c r="I445" s="14"/>
      <c r="J445" s="16"/>
      <c r="K445" s="14">
        <f>Table1[[#This Row],[Complexity]]*$A$11+SUM(Table1[[#This Row],[Other 
Integration]:[OEM 
Integration]])*$C$11</f>
        <v>0</v>
      </c>
      <c r="L445" s="7"/>
      <c r="M445" s="7"/>
    </row>
    <row r="446" spans="1:13" x14ac:dyDescent="0.3">
      <c r="A446" s="14">
        <v>430</v>
      </c>
      <c r="B446" s="14"/>
      <c r="C446" s="14"/>
      <c r="D446" s="14"/>
      <c r="E446" s="14"/>
      <c r="F446" s="14"/>
      <c r="G446" s="14"/>
      <c r="H446" s="14"/>
      <c r="I446" s="14"/>
      <c r="J446" s="16"/>
      <c r="K446" s="14">
        <f>Table1[[#This Row],[Complexity]]*$A$11+SUM(Table1[[#This Row],[Other 
Integration]:[OEM 
Integration]])*$C$11</f>
        <v>0</v>
      </c>
      <c r="L446" s="7"/>
      <c r="M446" s="7"/>
    </row>
    <row r="447" spans="1:13" x14ac:dyDescent="0.3">
      <c r="A447" s="14">
        <v>431</v>
      </c>
      <c r="B447" s="14"/>
      <c r="C447" s="14"/>
      <c r="D447" s="14"/>
      <c r="E447" s="14"/>
      <c r="F447" s="14"/>
      <c r="G447" s="14"/>
      <c r="H447" s="14"/>
      <c r="I447" s="14"/>
      <c r="J447" s="16"/>
      <c r="K447" s="14">
        <f>Table1[[#This Row],[Complexity]]*$A$11+SUM(Table1[[#This Row],[Other 
Integration]:[OEM 
Integration]])*$C$11</f>
        <v>0</v>
      </c>
      <c r="L447" s="7"/>
      <c r="M447" s="7"/>
    </row>
    <row r="448" spans="1:13" x14ac:dyDescent="0.3">
      <c r="A448" s="14">
        <v>432</v>
      </c>
      <c r="B448" s="14"/>
      <c r="C448" s="14"/>
      <c r="D448" s="14"/>
      <c r="E448" s="14"/>
      <c r="F448" s="14"/>
      <c r="G448" s="14"/>
      <c r="H448" s="14"/>
      <c r="I448" s="14"/>
      <c r="J448" s="16"/>
      <c r="K448" s="14">
        <f>Table1[[#This Row],[Complexity]]*$A$11+SUM(Table1[[#This Row],[Other 
Integration]:[OEM 
Integration]])*$C$11</f>
        <v>0</v>
      </c>
      <c r="L448" s="7"/>
      <c r="M448" s="7"/>
    </row>
    <row r="449" spans="1:13" x14ac:dyDescent="0.3">
      <c r="A449" s="14">
        <v>433</v>
      </c>
      <c r="B449" s="14"/>
      <c r="C449" s="14"/>
      <c r="D449" s="14"/>
      <c r="E449" s="14"/>
      <c r="F449" s="14"/>
      <c r="G449" s="14"/>
      <c r="H449" s="14"/>
      <c r="I449" s="14"/>
      <c r="J449" s="16"/>
      <c r="K449" s="14">
        <f>Table1[[#This Row],[Complexity]]*$A$11+SUM(Table1[[#This Row],[Other 
Integration]:[OEM 
Integration]])*$C$11</f>
        <v>0</v>
      </c>
      <c r="L449" s="7"/>
      <c r="M449" s="7"/>
    </row>
    <row r="450" spans="1:13" x14ac:dyDescent="0.3">
      <c r="A450" s="14">
        <v>434</v>
      </c>
      <c r="B450" s="14"/>
      <c r="C450" s="14"/>
      <c r="D450" s="14"/>
      <c r="E450" s="14"/>
      <c r="F450" s="14"/>
      <c r="G450" s="14"/>
      <c r="H450" s="14"/>
      <c r="I450" s="14"/>
      <c r="J450" s="16"/>
      <c r="K450" s="14">
        <f>Table1[[#This Row],[Complexity]]*$A$11+SUM(Table1[[#This Row],[Other 
Integration]:[OEM 
Integration]])*$C$11</f>
        <v>0</v>
      </c>
      <c r="L450" s="7"/>
      <c r="M450" s="7"/>
    </row>
    <row r="451" spans="1:13" x14ac:dyDescent="0.3">
      <c r="A451" s="14">
        <v>435</v>
      </c>
      <c r="B451" s="14"/>
      <c r="C451" s="14"/>
      <c r="D451" s="14"/>
      <c r="E451" s="14"/>
      <c r="F451" s="14"/>
      <c r="G451" s="14"/>
      <c r="H451" s="14"/>
      <c r="I451" s="14"/>
      <c r="J451" s="16"/>
      <c r="K451" s="14">
        <f>Table1[[#This Row],[Complexity]]*$A$11+SUM(Table1[[#This Row],[Other 
Integration]:[OEM 
Integration]])*$C$11</f>
        <v>0</v>
      </c>
      <c r="L451" s="7"/>
      <c r="M451" s="7"/>
    </row>
    <row r="452" spans="1:13" x14ac:dyDescent="0.3">
      <c r="A452" s="14">
        <v>436</v>
      </c>
      <c r="B452" s="14"/>
      <c r="C452" s="14"/>
      <c r="D452" s="14"/>
      <c r="E452" s="14"/>
      <c r="F452" s="14"/>
      <c r="G452" s="14"/>
      <c r="H452" s="14"/>
      <c r="I452" s="14"/>
      <c r="J452" s="16"/>
      <c r="K452" s="14">
        <f>Table1[[#This Row],[Complexity]]*$A$11+SUM(Table1[[#This Row],[Other 
Integration]:[OEM 
Integration]])*$C$11</f>
        <v>0</v>
      </c>
      <c r="L452" s="7"/>
      <c r="M452" s="7"/>
    </row>
    <row r="453" spans="1:13" x14ac:dyDescent="0.3">
      <c r="A453" s="14">
        <v>437</v>
      </c>
      <c r="B453" s="14"/>
      <c r="C453" s="14"/>
      <c r="D453" s="14"/>
      <c r="E453" s="14"/>
      <c r="F453" s="14"/>
      <c r="G453" s="14"/>
      <c r="H453" s="14"/>
      <c r="I453" s="14"/>
      <c r="J453" s="16"/>
      <c r="K453" s="14">
        <f>Table1[[#This Row],[Complexity]]*$A$11+SUM(Table1[[#This Row],[Other 
Integration]:[OEM 
Integration]])*$C$11</f>
        <v>0</v>
      </c>
      <c r="L453" s="7"/>
      <c r="M453" s="7"/>
    </row>
    <row r="454" spans="1:13" x14ac:dyDescent="0.3">
      <c r="A454" s="14">
        <v>438</v>
      </c>
      <c r="B454" s="14"/>
      <c r="C454" s="14"/>
      <c r="D454" s="14"/>
      <c r="E454" s="14"/>
      <c r="F454" s="14"/>
      <c r="G454" s="14"/>
      <c r="H454" s="14"/>
      <c r="I454" s="14"/>
      <c r="J454" s="16"/>
      <c r="K454" s="14">
        <f>Table1[[#This Row],[Complexity]]*$A$11+SUM(Table1[[#This Row],[Other 
Integration]:[OEM 
Integration]])*$C$11</f>
        <v>0</v>
      </c>
      <c r="L454" s="7"/>
      <c r="M454" s="7"/>
    </row>
    <row r="455" spans="1:13" x14ac:dyDescent="0.3">
      <c r="A455" s="14">
        <v>439</v>
      </c>
      <c r="B455" s="14"/>
      <c r="C455" s="14"/>
      <c r="D455" s="14"/>
      <c r="E455" s="14"/>
      <c r="F455" s="14"/>
      <c r="G455" s="14"/>
      <c r="H455" s="14"/>
      <c r="I455" s="14"/>
      <c r="J455" s="16"/>
      <c r="K455" s="14">
        <f>Table1[[#This Row],[Complexity]]*$A$11+SUM(Table1[[#This Row],[Other 
Integration]:[OEM 
Integration]])*$C$11</f>
        <v>0</v>
      </c>
      <c r="L455" s="7"/>
      <c r="M455" s="7"/>
    </row>
    <row r="456" spans="1:13" x14ac:dyDescent="0.3">
      <c r="A456" s="14">
        <v>440</v>
      </c>
      <c r="B456" s="14"/>
      <c r="C456" s="14"/>
      <c r="D456" s="14"/>
      <c r="E456" s="14"/>
      <c r="F456" s="14"/>
      <c r="G456" s="14"/>
      <c r="H456" s="14"/>
      <c r="I456" s="14"/>
      <c r="J456" s="16"/>
      <c r="K456" s="14">
        <f>Table1[[#This Row],[Complexity]]*$A$11+SUM(Table1[[#This Row],[Other 
Integration]:[OEM 
Integration]])*$C$11</f>
        <v>0</v>
      </c>
      <c r="L456" s="7"/>
      <c r="M456" s="7"/>
    </row>
    <row r="457" spans="1:13" x14ac:dyDescent="0.3">
      <c r="A457" s="14">
        <v>441</v>
      </c>
      <c r="B457" s="14"/>
      <c r="C457" s="14"/>
      <c r="D457" s="14"/>
      <c r="E457" s="14"/>
      <c r="F457" s="14"/>
      <c r="G457" s="14"/>
      <c r="H457" s="14"/>
      <c r="I457" s="14"/>
      <c r="J457" s="16"/>
      <c r="K457" s="14">
        <f>Table1[[#This Row],[Complexity]]*$A$11+SUM(Table1[[#This Row],[Other 
Integration]:[OEM 
Integration]])*$C$11</f>
        <v>0</v>
      </c>
      <c r="L457" s="7"/>
      <c r="M457" s="7"/>
    </row>
    <row r="458" spans="1:13" x14ac:dyDescent="0.3">
      <c r="A458" s="14">
        <v>442</v>
      </c>
      <c r="B458" s="14"/>
      <c r="C458" s="14"/>
      <c r="D458" s="14"/>
      <c r="E458" s="14"/>
      <c r="F458" s="14"/>
      <c r="G458" s="14"/>
      <c r="H458" s="14"/>
      <c r="I458" s="14"/>
      <c r="J458" s="16"/>
      <c r="K458" s="14">
        <f>Table1[[#This Row],[Complexity]]*$A$11+SUM(Table1[[#This Row],[Other 
Integration]:[OEM 
Integration]])*$C$11</f>
        <v>0</v>
      </c>
      <c r="L458" s="7"/>
      <c r="M458" s="7"/>
    </row>
    <row r="459" spans="1:13" x14ac:dyDescent="0.3">
      <c r="A459" s="14">
        <v>443</v>
      </c>
      <c r="B459" s="14"/>
      <c r="C459" s="14"/>
      <c r="D459" s="14"/>
      <c r="E459" s="14"/>
      <c r="F459" s="14"/>
      <c r="G459" s="14"/>
      <c r="H459" s="14"/>
      <c r="I459" s="14"/>
      <c r="J459" s="16"/>
      <c r="K459" s="14">
        <f>Table1[[#This Row],[Complexity]]*$A$11+SUM(Table1[[#This Row],[Other 
Integration]:[OEM 
Integration]])*$C$11</f>
        <v>0</v>
      </c>
      <c r="L459" s="7"/>
      <c r="M459" s="7"/>
    </row>
    <row r="460" spans="1:13" x14ac:dyDescent="0.3">
      <c r="A460" s="14">
        <v>444</v>
      </c>
      <c r="B460" s="14"/>
      <c r="C460" s="14"/>
      <c r="D460" s="14"/>
      <c r="E460" s="14"/>
      <c r="F460" s="14"/>
      <c r="G460" s="14"/>
      <c r="H460" s="14"/>
      <c r="I460" s="14"/>
      <c r="J460" s="16"/>
      <c r="K460" s="14">
        <f>Table1[[#This Row],[Complexity]]*$A$11+SUM(Table1[[#This Row],[Other 
Integration]:[OEM 
Integration]])*$C$11</f>
        <v>0</v>
      </c>
      <c r="L460" s="7"/>
      <c r="M460" s="7"/>
    </row>
    <row r="461" spans="1:13" x14ac:dyDescent="0.3">
      <c r="A461" s="14">
        <v>445</v>
      </c>
      <c r="B461" s="14"/>
      <c r="C461" s="14"/>
      <c r="D461" s="14"/>
      <c r="E461" s="14"/>
      <c r="F461" s="14"/>
      <c r="G461" s="14"/>
      <c r="H461" s="14"/>
      <c r="I461" s="14"/>
      <c r="J461" s="16"/>
      <c r="K461" s="14">
        <f>Table1[[#This Row],[Complexity]]*$A$11+SUM(Table1[[#This Row],[Other 
Integration]:[OEM 
Integration]])*$C$11</f>
        <v>0</v>
      </c>
      <c r="L461" s="7"/>
      <c r="M461" s="7"/>
    </row>
    <row r="462" spans="1:13" x14ac:dyDescent="0.3">
      <c r="A462" s="14">
        <v>446</v>
      </c>
      <c r="B462" s="14"/>
      <c r="C462" s="14"/>
      <c r="D462" s="14"/>
      <c r="E462" s="14"/>
      <c r="F462" s="14"/>
      <c r="G462" s="14"/>
      <c r="H462" s="14"/>
      <c r="I462" s="14"/>
      <c r="J462" s="16"/>
      <c r="K462" s="14">
        <f>Table1[[#This Row],[Complexity]]*$A$11+SUM(Table1[[#This Row],[Other 
Integration]:[OEM 
Integration]])*$C$11</f>
        <v>0</v>
      </c>
      <c r="L462" s="7"/>
      <c r="M462" s="7"/>
    </row>
    <row r="463" spans="1:13" x14ac:dyDescent="0.3">
      <c r="A463" s="14">
        <v>447</v>
      </c>
      <c r="B463" s="14"/>
      <c r="C463" s="14"/>
      <c r="D463" s="14"/>
      <c r="E463" s="14"/>
      <c r="F463" s="14"/>
      <c r="G463" s="14"/>
      <c r="H463" s="14"/>
      <c r="I463" s="14"/>
      <c r="J463" s="16"/>
      <c r="K463" s="14">
        <f>Table1[[#This Row],[Complexity]]*$A$11+SUM(Table1[[#This Row],[Other 
Integration]:[OEM 
Integration]])*$C$11</f>
        <v>0</v>
      </c>
      <c r="L463" s="7"/>
      <c r="M463" s="7"/>
    </row>
    <row r="464" spans="1:13" x14ac:dyDescent="0.3">
      <c r="A464" s="14">
        <v>448</v>
      </c>
      <c r="B464" s="14"/>
      <c r="C464" s="14"/>
      <c r="D464" s="14"/>
      <c r="E464" s="14"/>
      <c r="F464" s="14"/>
      <c r="G464" s="14"/>
      <c r="H464" s="14"/>
      <c r="I464" s="14"/>
      <c r="J464" s="16"/>
      <c r="K464" s="14">
        <f>Table1[[#This Row],[Complexity]]*$A$11+SUM(Table1[[#This Row],[Other 
Integration]:[OEM 
Integration]])*$C$11</f>
        <v>0</v>
      </c>
      <c r="L464" s="7"/>
      <c r="M464" s="7"/>
    </row>
    <row r="465" spans="1:13" x14ac:dyDescent="0.3">
      <c r="A465" s="14">
        <v>449</v>
      </c>
      <c r="B465" s="14"/>
      <c r="C465" s="14"/>
      <c r="D465" s="14"/>
      <c r="E465" s="14"/>
      <c r="F465" s="14"/>
      <c r="G465" s="14"/>
      <c r="H465" s="14"/>
      <c r="I465" s="14"/>
      <c r="J465" s="16"/>
      <c r="K465" s="14">
        <f>Table1[[#This Row],[Complexity]]*$A$11+SUM(Table1[[#This Row],[Other 
Integration]:[OEM 
Integration]])*$C$11</f>
        <v>0</v>
      </c>
      <c r="L465" s="7"/>
      <c r="M465" s="7"/>
    </row>
    <row r="466" spans="1:13" x14ac:dyDescent="0.3">
      <c r="A466" s="14">
        <v>450</v>
      </c>
      <c r="B466" s="14"/>
      <c r="C466" s="14"/>
      <c r="D466" s="14"/>
      <c r="E466" s="14"/>
      <c r="F466" s="14"/>
      <c r="G466" s="14"/>
      <c r="H466" s="14"/>
      <c r="I466" s="14"/>
      <c r="J466" s="16"/>
      <c r="K466" s="14">
        <f>Table1[[#This Row],[Complexity]]*$A$11+SUM(Table1[[#This Row],[Other 
Integration]:[OEM 
Integration]])*$C$11</f>
        <v>0</v>
      </c>
      <c r="L466" s="7"/>
      <c r="M466" s="7"/>
    </row>
    <row r="467" spans="1:13" x14ac:dyDescent="0.3">
      <c r="A467" s="14">
        <v>451</v>
      </c>
      <c r="B467" s="14"/>
      <c r="C467" s="14"/>
      <c r="D467" s="14"/>
      <c r="E467" s="14"/>
      <c r="F467" s="14"/>
      <c r="G467" s="14"/>
      <c r="H467" s="14"/>
      <c r="I467" s="14"/>
      <c r="J467" s="16"/>
      <c r="K467" s="14">
        <f>Table1[[#This Row],[Complexity]]*$A$11+SUM(Table1[[#This Row],[Other 
Integration]:[OEM 
Integration]])*$C$11</f>
        <v>0</v>
      </c>
      <c r="L467" s="7"/>
      <c r="M467" s="7"/>
    </row>
    <row r="468" spans="1:13" x14ac:dyDescent="0.3">
      <c r="A468" s="14">
        <v>452</v>
      </c>
      <c r="B468" s="14"/>
      <c r="C468" s="14"/>
      <c r="D468" s="14"/>
      <c r="E468" s="14"/>
      <c r="F468" s="14"/>
      <c r="G468" s="14"/>
      <c r="H468" s="14"/>
      <c r="I468" s="14"/>
      <c r="J468" s="16"/>
      <c r="K468" s="14">
        <f>Table1[[#This Row],[Complexity]]*$A$11+SUM(Table1[[#This Row],[Other 
Integration]:[OEM 
Integration]])*$C$11</f>
        <v>0</v>
      </c>
      <c r="L468" s="7"/>
      <c r="M468" s="7"/>
    </row>
    <row r="469" spans="1:13" x14ac:dyDescent="0.3">
      <c r="A469" s="14">
        <v>453</v>
      </c>
      <c r="B469" s="14"/>
      <c r="C469" s="14"/>
      <c r="D469" s="14"/>
      <c r="E469" s="14"/>
      <c r="F469" s="14"/>
      <c r="G469" s="14"/>
      <c r="H469" s="14"/>
      <c r="I469" s="14"/>
      <c r="J469" s="16"/>
      <c r="K469" s="14">
        <f>Table1[[#This Row],[Complexity]]*$A$11+SUM(Table1[[#This Row],[Other 
Integration]:[OEM 
Integration]])*$C$11</f>
        <v>0</v>
      </c>
      <c r="L469" s="7"/>
      <c r="M469" s="7"/>
    </row>
    <row r="470" spans="1:13" x14ac:dyDescent="0.3">
      <c r="A470" s="14">
        <v>454</v>
      </c>
      <c r="B470" s="14"/>
      <c r="C470" s="14"/>
      <c r="D470" s="14"/>
      <c r="E470" s="14"/>
      <c r="F470" s="14"/>
      <c r="G470" s="14"/>
      <c r="H470" s="14"/>
      <c r="I470" s="14"/>
      <c r="J470" s="16"/>
      <c r="K470" s="14">
        <f>Table1[[#This Row],[Complexity]]*$A$11+SUM(Table1[[#This Row],[Other 
Integration]:[OEM 
Integration]])*$C$11</f>
        <v>0</v>
      </c>
      <c r="L470" s="7"/>
      <c r="M470" s="7"/>
    </row>
    <row r="471" spans="1:13" x14ac:dyDescent="0.3">
      <c r="A471" s="14">
        <v>455</v>
      </c>
      <c r="B471" s="14"/>
      <c r="C471" s="14"/>
      <c r="D471" s="14"/>
      <c r="E471" s="14"/>
      <c r="F471" s="14"/>
      <c r="G471" s="14"/>
      <c r="H471" s="14"/>
      <c r="I471" s="14"/>
      <c r="J471" s="16"/>
      <c r="K471" s="14">
        <f>Table1[[#This Row],[Complexity]]*$A$11+SUM(Table1[[#This Row],[Other 
Integration]:[OEM 
Integration]])*$C$11</f>
        <v>0</v>
      </c>
      <c r="L471" s="7"/>
      <c r="M471" s="7"/>
    </row>
    <row r="472" spans="1:13" x14ac:dyDescent="0.3">
      <c r="A472" s="14">
        <v>456</v>
      </c>
      <c r="B472" s="14"/>
      <c r="C472" s="14"/>
      <c r="D472" s="14"/>
      <c r="E472" s="14"/>
      <c r="F472" s="14"/>
      <c r="G472" s="14"/>
      <c r="H472" s="14"/>
      <c r="I472" s="14"/>
      <c r="J472" s="16"/>
      <c r="K472" s="14">
        <f>Table1[[#This Row],[Complexity]]*$A$11+SUM(Table1[[#This Row],[Other 
Integration]:[OEM 
Integration]])*$C$11</f>
        <v>0</v>
      </c>
      <c r="L472" s="7"/>
      <c r="M472" s="7"/>
    </row>
    <row r="473" spans="1:13" x14ac:dyDescent="0.3">
      <c r="A473" s="14">
        <v>457</v>
      </c>
      <c r="B473" s="14"/>
      <c r="C473" s="14"/>
      <c r="D473" s="14"/>
      <c r="E473" s="14"/>
      <c r="F473" s="14"/>
      <c r="G473" s="14"/>
      <c r="H473" s="14"/>
      <c r="I473" s="14"/>
      <c r="J473" s="16"/>
      <c r="K473" s="14">
        <f>Table1[[#This Row],[Complexity]]*$A$11+SUM(Table1[[#This Row],[Other 
Integration]:[OEM 
Integration]])*$C$11</f>
        <v>0</v>
      </c>
      <c r="L473" s="7"/>
      <c r="M473" s="7"/>
    </row>
    <row r="474" spans="1:13" x14ac:dyDescent="0.3">
      <c r="A474" s="14">
        <v>458</v>
      </c>
      <c r="B474" s="14"/>
      <c r="C474" s="14"/>
      <c r="D474" s="14"/>
      <c r="E474" s="14"/>
      <c r="F474" s="14"/>
      <c r="G474" s="14"/>
      <c r="H474" s="14"/>
      <c r="I474" s="14"/>
      <c r="J474" s="16"/>
      <c r="K474" s="14">
        <f>Table1[[#This Row],[Complexity]]*$A$11+SUM(Table1[[#This Row],[Other 
Integration]:[OEM 
Integration]])*$C$11</f>
        <v>0</v>
      </c>
      <c r="L474" s="7"/>
      <c r="M474" s="7"/>
    </row>
    <row r="475" spans="1:13" x14ac:dyDescent="0.3">
      <c r="A475" s="14">
        <v>459</v>
      </c>
      <c r="B475" s="14"/>
      <c r="C475" s="14"/>
      <c r="D475" s="14"/>
      <c r="E475" s="14"/>
      <c r="F475" s="14"/>
      <c r="G475" s="14"/>
      <c r="H475" s="14"/>
      <c r="I475" s="14"/>
      <c r="J475" s="16"/>
      <c r="K475" s="14">
        <f>Table1[[#This Row],[Complexity]]*$A$11+SUM(Table1[[#This Row],[Other 
Integration]:[OEM 
Integration]])*$C$11</f>
        <v>0</v>
      </c>
      <c r="L475" s="7"/>
      <c r="M475" s="7"/>
    </row>
    <row r="476" spans="1:13" x14ac:dyDescent="0.3">
      <c r="A476" s="14">
        <v>460</v>
      </c>
      <c r="B476" s="14"/>
      <c r="C476" s="14"/>
      <c r="D476" s="14"/>
      <c r="E476" s="14"/>
      <c r="F476" s="14"/>
      <c r="G476" s="14"/>
      <c r="H476" s="14"/>
      <c r="I476" s="14"/>
      <c r="J476" s="16"/>
      <c r="K476" s="14">
        <f>Table1[[#This Row],[Complexity]]*$A$11+SUM(Table1[[#This Row],[Other 
Integration]:[OEM 
Integration]])*$C$11</f>
        <v>0</v>
      </c>
      <c r="L476" s="7"/>
      <c r="M476" s="7"/>
    </row>
    <row r="477" spans="1:13" x14ac:dyDescent="0.3">
      <c r="A477" s="14">
        <v>461</v>
      </c>
      <c r="B477" s="14"/>
      <c r="C477" s="14"/>
      <c r="D477" s="14"/>
      <c r="E477" s="14"/>
      <c r="F477" s="14"/>
      <c r="G477" s="14"/>
      <c r="H477" s="14"/>
      <c r="I477" s="14"/>
      <c r="J477" s="16"/>
      <c r="K477" s="14">
        <f>Table1[[#This Row],[Complexity]]*$A$11+SUM(Table1[[#This Row],[Other 
Integration]:[OEM 
Integration]])*$C$11</f>
        <v>0</v>
      </c>
      <c r="L477" s="7"/>
      <c r="M477" s="7"/>
    </row>
    <row r="478" spans="1:13" x14ac:dyDescent="0.3">
      <c r="A478" s="14">
        <v>462</v>
      </c>
      <c r="B478" s="14"/>
      <c r="C478" s="14"/>
      <c r="D478" s="14"/>
      <c r="E478" s="14"/>
      <c r="F478" s="14"/>
      <c r="G478" s="14"/>
      <c r="H478" s="14"/>
      <c r="I478" s="14"/>
      <c r="J478" s="16"/>
      <c r="K478" s="14">
        <f>Table1[[#This Row],[Complexity]]*$A$11+SUM(Table1[[#This Row],[Other 
Integration]:[OEM 
Integration]])*$C$11</f>
        <v>0</v>
      </c>
      <c r="L478" s="7"/>
      <c r="M478" s="7"/>
    </row>
    <row r="479" spans="1:13" x14ac:dyDescent="0.3">
      <c r="A479" s="14">
        <v>463</v>
      </c>
      <c r="B479" s="14"/>
      <c r="C479" s="14"/>
      <c r="D479" s="14"/>
      <c r="E479" s="14"/>
      <c r="F479" s="14"/>
      <c r="G479" s="14"/>
      <c r="H479" s="14"/>
      <c r="I479" s="14"/>
      <c r="J479" s="16"/>
      <c r="K479" s="14">
        <f>Table1[[#This Row],[Complexity]]*$A$11+SUM(Table1[[#This Row],[Other 
Integration]:[OEM 
Integration]])*$C$11</f>
        <v>0</v>
      </c>
      <c r="L479" s="7"/>
      <c r="M479" s="7"/>
    </row>
    <row r="480" spans="1:13" x14ac:dyDescent="0.3">
      <c r="A480" s="14">
        <v>464</v>
      </c>
      <c r="B480" s="14"/>
      <c r="C480" s="14"/>
      <c r="D480" s="14"/>
      <c r="E480" s="14"/>
      <c r="F480" s="14"/>
      <c r="G480" s="14"/>
      <c r="H480" s="14"/>
      <c r="I480" s="14"/>
      <c r="J480" s="16"/>
      <c r="K480" s="14">
        <f>Table1[[#This Row],[Complexity]]*$A$11+SUM(Table1[[#This Row],[Other 
Integration]:[OEM 
Integration]])*$C$11</f>
        <v>0</v>
      </c>
      <c r="L480" s="7"/>
      <c r="M480" s="7"/>
    </row>
    <row r="481" spans="1:13" x14ac:dyDescent="0.3">
      <c r="A481" s="14">
        <v>465</v>
      </c>
      <c r="B481" s="14"/>
      <c r="C481" s="14"/>
      <c r="D481" s="14"/>
      <c r="E481" s="14"/>
      <c r="F481" s="14"/>
      <c r="G481" s="14"/>
      <c r="H481" s="14"/>
      <c r="I481" s="14"/>
      <c r="J481" s="16"/>
      <c r="K481" s="14">
        <f>Table1[[#This Row],[Complexity]]*$A$11+SUM(Table1[[#This Row],[Other 
Integration]:[OEM 
Integration]])*$C$11</f>
        <v>0</v>
      </c>
      <c r="L481" s="7"/>
      <c r="M481" s="7"/>
    </row>
    <row r="482" spans="1:13" x14ac:dyDescent="0.3">
      <c r="A482" s="14">
        <v>466</v>
      </c>
      <c r="B482" s="14"/>
      <c r="C482" s="14"/>
      <c r="D482" s="14"/>
      <c r="E482" s="14"/>
      <c r="F482" s="14"/>
      <c r="G482" s="14"/>
      <c r="H482" s="14"/>
      <c r="I482" s="14"/>
      <c r="J482" s="16"/>
      <c r="K482" s="14">
        <f>Table1[[#This Row],[Complexity]]*$A$11+SUM(Table1[[#This Row],[Other 
Integration]:[OEM 
Integration]])*$C$11</f>
        <v>0</v>
      </c>
      <c r="L482" s="7"/>
      <c r="M482" s="7"/>
    </row>
    <row r="483" spans="1:13" x14ac:dyDescent="0.3">
      <c r="A483" s="14">
        <v>467</v>
      </c>
      <c r="B483" s="14"/>
      <c r="C483" s="14"/>
      <c r="D483" s="14"/>
      <c r="E483" s="14"/>
      <c r="F483" s="14"/>
      <c r="G483" s="14"/>
      <c r="H483" s="14"/>
      <c r="I483" s="14"/>
      <c r="J483" s="16"/>
      <c r="K483" s="14">
        <f>Table1[[#This Row],[Complexity]]*$A$11+SUM(Table1[[#This Row],[Other 
Integration]:[OEM 
Integration]])*$C$11</f>
        <v>0</v>
      </c>
      <c r="L483" s="7"/>
      <c r="M483" s="7"/>
    </row>
    <row r="484" spans="1:13" x14ac:dyDescent="0.3">
      <c r="A484" s="14">
        <v>468</v>
      </c>
      <c r="B484" s="14"/>
      <c r="C484" s="14"/>
      <c r="D484" s="14"/>
      <c r="E484" s="14"/>
      <c r="F484" s="14"/>
      <c r="G484" s="14"/>
      <c r="H484" s="14"/>
      <c r="I484" s="14"/>
      <c r="J484" s="16"/>
      <c r="K484" s="14">
        <f>Table1[[#This Row],[Complexity]]*$A$11+SUM(Table1[[#This Row],[Other 
Integration]:[OEM 
Integration]])*$C$11</f>
        <v>0</v>
      </c>
      <c r="L484" s="7"/>
      <c r="M484" s="7"/>
    </row>
    <row r="485" spans="1:13" x14ac:dyDescent="0.3">
      <c r="A485" s="14">
        <v>469</v>
      </c>
      <c r="B485" s="14"/>
      <c r="C485" s="14"/>
      <c r="D485" s="14"/>
      <c r="E485" s="14"/>
      <c r="F485" s="14"/>
      <c r="G485" s="14"/>
      <c r="H485" s="14"/>
      <c r="I485" s="14"/>
      <c r="J485" s="16"/>
      <c r="K485" s="14">
        <f>Table1[[#This Row],[Complexity]]*$A$11+SUM(Table1[[#This Row],[Other 
Integration]:[OEM 
Integration]])*$C$11</f>
        <v>0</v>
      </c>
      <c r="L485" s="7"/>
      <c r="M485" s="7"/>
    </row>
    <row r="486" spans="1:13" x14ac:dyDescent="0.3">
      <c r="A486" s="14">
        <v>470</v>
      </c>
      <c r="B486" s="14"/>
      <c r="C486" s="14"/>
      <c r="D486" s="14"/>
      <c r="E486" s="14"/>
      <c r="F486" s="14"/>
      <c r="G486" s="14"/>
      <c r="H486" s="14"/>
      <c r="I486" s="14"/>
      <c r="J486" s="16"/>
      <c r="K486" s="14">
        <f>Table1[[#This Row],[Complexity]]*$A$11+SUM(Table1[[#This Row],[Other 
Integration]:[OEM 
Integration]])*$C$11</f>
        <v>0</v>
      </c>
      <c r="L486" s="7"/>
      <c r="M486" s="7"/>
    </row>
    <row r="487" spans="1:13" x14ac:dyDescent="0.3">
      <c r="A487" s="14">
        <v>471</v>
      </c>
      <c r="B487" s="14"/>
      <c r="C487" s="14"/>
      <c r="D487" s="14"/>
      <c r="E487" s="14"/>
      <c r="F487" s="14"/>
      <c r="G487" s="14"/>
      <c r="H487" s="14"/>
      <c r="I487" s="14"/>
      <c r="J487" s="16"/>
      <c r="K487" s="14">
        <f>Table1[[#This Row],[Complexity]]*$A$11+SUM(Table1[[#This Row],[Other 
Integration]:[OEM 
Integration]])*$C$11</f>
        <v>0</v>
      </c>
      <c r="L487" s="7"/>
      <c r="M487" s="7"/>
    </row>
    <row r="488" spans="1:13" x14ac:dyDescent="0.3">
      <c r="A488" s="14">
        <v>472</v>
      </c>
      <c r="B488" s="14"/>
      <c r="C488" s="14"/>
      <c r="D488" s="14"/>
      <c r="E488" s="14"/>
      <c r="F488" s="14"/>
      <c r="G488" s="14"/>
      <c r="H488" s="14"/>
      <c r="I488" s="14"/>
      <c r="J488" s="16"/>
      <c r="K488" s="14">
        <f>Table1[[#This Row],[Complexity]]*$A$11+SUM(Table1[[#This Row],[Other 
Integration]:[OEM 
Integration]])*$C$11</f>
        <v>0</v>
      </c>
      <c r="L488" s="7"/>
      <c r="M488" s="7"/>
    </row>
    <row r="489" spans="1:13" x14ac:dyDescent="0.3">
      <c r="A489" s="14">
        <v>473</v>
      </c>
      <c r="B489" s="14"/>
      <c r="C489" s="14"/>
      <c r="D489" s="14"/>
      <c r="E489" s="14"/>
      <c r="F489" s="14"/>
      <c r="G489" s="14"/>
      <c r="H489" s="14"/>
      <c r="I489" s="14"/>
      <c r="J489" s="16"/>
      <c r="K489" s="14">
        <f>Table1[[#This Row],[Complexity]]*$A$11+SUM(Table1[[#This Row],[Other 
Integration]:[OEM 
Integration]])*$C$11</f>
        <v>0</v>
      </c>
      <c r="L489" s="7"/>
      <c r="M489" s="7"/>
    </row>
    <row r="490" spans="1:13" x14ac:dyDescent="0.3">
      <c r="A490" s="14">
        <v>474</v>
      </c>
      <c r="B490" s="14"/>
      <c r="C490" s="14"/>
      <c r="D490" s="14"/>
      <c r="E490" s="14"/>
      <c r="F490" s="14"/>
      <c r="G490" s="14"/>
      <c r="H490" s="14"/>
      <c r="I490" s="14"/>
      <c r="J490" s="16"/>
      <c r="K490" s="14">
        <f>Table1[[#This Row],[Complexity]]*$A$11+SUM(Table1[[#This Row],[Other 
Integration]:[OEM 
Integration]])*$C$11</f>
        <v>0</v>
      </c>
      <c r="L490" s="7"/>
      <c r="M490" s="7"/>
    </row>
    <row r="491" spans="1:13" x14ac:dyDescent="0.3">
      <c r="A491" s="14">
        <v>475</v>
      </c>
      <c r="B491" s="14"/>
      <c r="C491" s="14"/>
      <c r="D491" s="14"/>
      <c r="E491" s="14"/>
      <c r="F491" s="14"/>
      <c r="G491" s="14"/>
      <c r="H491" s="14"/>
      <c r="I491" s="14"/>
      <c r="J491" s="16"/>
      <c r="K491" s="14">
        <f>Table1[[#This Row],[Complexity]]*$A$11+SUM(Table1[[#This Row],[Other 
Integration]:[OEM 
Integration]])*$C$11</f>
        <v>0</v>
      </c>
      <c r="L491" s="7"/>
      <c r="M491" s="7"/>
    </row>
    <row r="492" spans="1:13" x14ac:dyDescent="0.3">
      <c r="A492" s="14">
        <v>476</v>
      </c>
      <c r="B492" s="14"/>
      <c r="C492" s="14"/>
      <c r="D492" s="14"/>
      <c r="E492" s="14"/>
      <c r="F492" s="14"/>
      <c r="G492" s="14"/>
      <c r="H492" s="14"/>
      <c r="I492" s="14"/>
      <c r="J492" s="16"/>
      <c r="K492" s="14">
        <f>Table1[[#This Row],[Complexity]]*$A$11+SUM(Table1[[#This Row],[Other 
Integration]:[OEM 
Integration]])*$C$11</f>
        <v>0</v>
      </c>
      <c r="L492" s="7"/>
      <c r="M492" s="7"/>
    </row>
    <row r="493" spans="1:13" x14ac:dyDescent="0.3">
      <c r="A493" s="14">
        <v>477</v>
      </c>
      <c r="B493" s="14"/>
      <c r="C493" s="14"/>
      <c r="D493" s="14"/>
      <c r="E493" s="14"/>
      <c r="F493" s="14"/>
      <c r="G493" s="14"/>
      <c r="H493" s="14"/>
      <c r="I493" s="14"/>
      <c r="J493" s="16"/>
      <c r="K493" s="14">
        <f>Table1[[#This Row],[Complexity]]*$A$11+SUM(Table1[[#This Row],[Other 
Integration]:[OEM 
Integration]])*$C$11</f>
        <v>0</v>
      </c>
      <c r="L493" s="7"/>
      <c r="M493" s="7"/>
    </row>
    <row r="494" spans="1:13" x14ac:dyDescent="0.3">
      <c r="A494" s="14">
        <v>478</v>
      </c>
      <c r="B494" s="14"/>
      <c r="C494" s="14"/>
      <c r="D494" s="14"/>
      <c r="E494" s="14"/>
      <c r="F494" s="14"/>
      <c r="G494" s="14"/>
      <c r="H494" s="14"/>
      <c r="I494" s="14"/>
      <c r="J494" s="16"/>
      <c r="K494" s="14">
        <f>Table1[[#This Row],[Complexity]]*$A$11+SUM(Table1[[#This Row],[Other 
Integration]:[OEM 
Integration]])*$C$11</f>
        <v>0</v>
      </c>
      <c r="L494" s="7"/>
      <c r="M494" s="7"/>
    </row>
    <row r="495" spans="1:13" x14ac:dyDescent="0.3">
      <c r="A495" s="14">
        <v>479</v>
      </c>
      <c r="B495" s="14"/>
      <c r="C495" s="14"/>
      <c r="D495" s="14"/>
      <c r="E495" s="14"/>
      <c r="F495" s="14"/>
      <c r="G495" s="14"/>
      <c r="H495" s="14"/>
      <c r="I495" s="14"/>
      <c r="J495" s="16"/>
      <c r="K495" s="14">
        <f>Table1[[#This Row],[Complexity]]*$A$11+SUM(Table1[[#This Row],[Other 
Integration]:[OEM 
Integration]])*$C$11</f>
        <v>0</v>
      </c>
      <c r="L495" s="7"/>
      <c r="M495" s="7"/>
    </row>
    <row r="496" spans="1:13" x14ac:dyDescent="0.3">
      <c r="A496" s="14">
        <v>480</v>
      </c>
      <c r="B496" s="14"/>
      <c r="C496" s="14"/>
      <c r="D496" s="14"/>
      <c r="E496" s="14"/>
      <c r="F496" s="14"/>
      <c r="G496" s="14"/>
      <c r="H496" s="14"/>
      <c r="I496" s="14"/>
      <c r="J496" s="16"/>
      <c r="K496" s="14">
        <f>Table1[[#This Row],[Complexity]]*$A$11+SUM(Table1[[#This Row],[Other 
Integration]:[OEM 
Integration]])*$C$11</f>
        <v>0</v>
      </c>
      <c r="L496" s="7"/>
      <c r="M496" s="7"/>
    </row>
    <row r="497" spans="1:13" x14ac:dyDescent="0.3">
      <c r="A497" s="14">
        <v>481</v>
      </c>
      <c r="B497" s="14"/>
      <c r="C497" s="14"/>
      <c r="D497" s="14"/>
      <c r="E497" s="14"/>
      <c r="F497" s="14"/>
      <c r="G497" s="14"/>
      <c r="H497" s="14"/>
      <c r="I497" s="14"/>
      <c r="J497" s="16"/>
      <c r="K497" s="14">
        <f>Table1[[#This Row],[Complexity]]*$A$11+SUM(Table1[[#This Row],[Other 
Integration]:[OEM 
Integration]])*$C$11</f>
        <v>0</v>
      </c>
      <c r="L497" s="7"/>
      <c r="M497" s="7"/>
    </row>
    <row r="498" spans="1:13" x14ac:dyDescent="0.3">
      <c r="A498" s="14">
        <v>482</v>
      </c>
      <c r="B498" s="14"/>
      <c r="C498" s="14"/>
      <c r="D498" s="14"/>
      <c r="E498" s="14"/>
      <c r="F498" s="14"/>
      <c r="G498" s="14"/>
      <c r="H498" s="14"/>
      <c r="I498" s="14"/>
      <c r="J498" s="16"/>
      <c r="K498" s="14">
        <f>Table1[[#This Row],[Complexity]]*$A$11+SUM(Table1[[#This Row],[Other 
Integration]:[OEM 
Integration]])*$C$11</f>
        <v>0</v>
      </c>
      <c r="L498" s="7"/>
      <c r="M498" s="7"/>
    </row>
    <row r="499" spans="1:13" x14ac:dyDescent="0.3">
      <c r="A499" s="14">
        <v>483</v>
      </c>
      <c r="B499" s="14"/>
      <c r="C499" s="14"/>
      <c r="D499" s="14"/>
      <c r="E499" s="14"/>
      <c r="F499" s="14"/>
      <c r="G499" s="14"/>
      <c r="H499" s="14"/>
      <c r="I499" s="14"/>
      <c r="J499" s="16"/>
      <c r="K499" s="14">
        <f>Table1[[#This Row],[Complexity]]*$A$11+SUM(Table1[[#This Row],[Other 
Integration]:[OEM 
Integration]])*$C$11</f>
        <v>0</v>
      </c>
      <c r="L499" s="7"/>
      <c r="M499" s="7"/>
    </row>
    <row r="500" spans="1:13" x14ac:dyDescent="0.3">
      <c r="A500" s="14">
        <v>484</v>
      </c>
      <c r="B500" s="14"/>
      <c r="C500" s="14"/>
      <c r="D500" s="14"/>
      <c r="E500" s="14"/>
      <c r="F500" s="14"/>
      <c r="G500" s="14"/>
      <c r="H500" s="14"/>
      <c r="I500" s="14"/>
      <c r="J500" s="16"/>
      <c r="K500" s="14">
        <f>Table1[[#This Row],[Complexity]]*$A$11+SUM(Table1[[#This Row],[Other 
Integration]:[OEM 
Integration]])*$C$11</f>
        <v>0</v>
      </c>
      <c r="L500" s="7"/>
      <c r="M500" s="7"/>
    </row>
    <row r="501" spans="1:13" x14ac:dyDescent="0.3">
      <c r="A501" s="14">
        <v>485</v>
      </c>
      <c r="B501" s="14"/>
      <c r="C501" s="14"/>
      <c r="D501" s="14"/>
      <c r="E501" s="14"/>
      <c r="F501" s="14"/>
      <c r="G501" s="14"/>
      <c r="H501" s="14"/>
      <c r="I501" s="14"/>
      <c r="J501" s="16"/>
      <c r="K501" s="14">
        <f>Table1[[#This Row],[Complexity]]*$A$11+SUM(Table1[[#This Row],[Other 
Integration]:[OEM 
Integration]])*$C$11</f>
        <v>0</v>
      </c>
      <c r="L501" s="7"/>
      <c r="M501" s="7"/>
    </row>
    <row r="502" spans="1:13" x14ac:dyDescent="0.3">
      <c r="A502" s="14">
        <v>486</v>
      </c>
      <c r="B502" s="14"/>
      <c r="C502" s="14"/>
      <c r="D502" s="14"/>
      <c r="E502" s="14"/>
      <c r="F502" s="14"/>
      <c r="G502" s="14"/>
      <c r="H502" s="14"/>
      <c r="I502" s="14"/>
      <c r="J502" s="16"/>
      <c r="K502" s="14">
        <f>Table1[[#This Row],[Complexity]]*$A$11+SUM(Table1[[#This Row],[Other 
Integration]:[OEM 
Integration]])*$C$11</f>
        <v>0</v>
      </c>
      <c r="L502" s="7"/>
      <c r="M502" s="7"/>
    </row>
    <row r="503" spans="1:13" x14ac:dyDescent="0.3">
      <c r="A503" s="14">
        <v>487</v>
      </c>
      <c r="B503" s="14"/>
      <c r="C503" s="14"/>
      <c r="D503" s="14"/>
      <c r="E503" s="14"/>
      <c r="F503" s="14"/>
      <c r="G503" s="14"/>
      <c r="H503" s="14"/>
      <c r="I503" s="14"/>
      <c r="J503" s="16"/>
      <c r="K503" s="14">
        <f>Table1[[#This Row],[Complexity]]*$A$11+SUM(Table1[[#This Row],[Other 
Integration]:[OEM 
Integration]])*$C$11</f>
        <v>0</v>
      </c>
      <c r="L503" s="7"/>
      <c r="M503" s="7"/>
    </row>
    <row r="504" spans="1:13" x14ac:dyDescent="0.3">
      <c r="A504" s="14">
        <v>488</v>
      </c>
      <c r="B504" s="14"/>
      <c r="C504" s="14"/>
      <c r="D504" s="14"/>
      <c r="E504" s="14"/>
      <c r="F504" s="14"/>
      <c r="G504" s="14"/>
      <c r="H504" s="14"/>
      <c r="I504" s="14"/>
      <c r="J504" s="16"/>
      <c r="K504" s="14">
        <f>Table1[[#This Row],[Complexity]]*$A$11+SUM(Table1[[#This Row],[Other 
Integration]:[OEM 
Integration]])*$C$11</f>
        <v>0</v>
      </c>
      <c r="L504" s="7"/>
      <c r="M504" s="7"/>
    </row>
    <row r="505" spans="1:13" x14ac:dyDescent="0.3">
      <c r="A505" s="14">
        <v>489</v>
      </c>
      <c r="B505" s="14"/>
      <c r="C505" s="14"/>
      <c r="D505" s="14"/>
      <c r="E505" s="14"/>
      <c r="F505" s="14"/>
      <c r="G505" s="14"/>
      <c r="H505" s="14"/>
      <c r="I505" s="14"/>
      <c r="J505" s="16"/>
      <c r="K505" s="14">
        <f>Table1[[#This Row],[Complexity]]*$A$11+SUM(Table1[[#This Row],[Other 
Integration]:[OEM 
Integration]])*$C$11</f>
        <v>0</v>
      </c>
      <c r="L505" s="7"/>
      <c r="M505" s="7"/>
    </row>
    <row r="506" spans="1:13" x14ac:dyDescent="0.3">
      <c r="A506" s="14">
        <v>490</v>
      </c>
      <c r="B506" s="14"/>
      <c r="C506" s="14"/>
      <c r="D506" s="14"/>
      <c r="E506" s="14"/>
      <c r="F506" s="14"/>
      <c r="G506" s="14"/>
      <c r="H506" s="14"/>
      <c r="I506" s="14"/>
      <c r="J506" s="16"/>
      <c r="K506" s="14">
        <f>Table1[[#This Row],[Complexity]]*$A$11+SUM(Table1[[#This Row],[Other 
Integration]:[OEM 
Integration]])*$C$11</f>
        <v>0</v>
      </c>
      <c r="L506" s="7"/>
      <c r="M506" s="7"/>
    </row>
    <row r="507" spans="1:13" x14ac:dyDescent="0.3">
      <c r="A507" s="14">
        <v>491</v>
      </c>
      <c r="B507" s="14"/>
      <c r="C507" s="14"/>
      <c r="D507" s="14"/>
      <c r="E507" s="14"/>
      <c r="F507" s="14"/>
      <c r="G507" s="14"/>
      <c r="H507" s="14"/>
      <c r="I507" s="14"/>
      <c r="J507" s="16"/>
      <c r="K507" s="14">
        <f>Table1[[#This Row],[Complexity]]*$A$11+SUM(Table1[[#This Row],[Other 
Integration]:[OEM 
Integration]])*$C$11</f>
        <v>0</v>
      </c>
      <c r="L507" s="7"/>
      <c r="M507" s="7"/>
    </row>
    <row r="508" spans="1:13" x14ac:dyDescent="0.3">
      <c r="A508" s="14">
        <v>492</v>
      </c>
      <c r="B508" s="14"/>
      <c r="C508" s="14"/>
      <c r="D508" s="14"/>
      <c r="E508" s="14"/>
      <c r="F508" s="14"/>
      <c r="G508" s="14"/>
      <c r="H508" s="14"/>
      <c r="I508" s="14"/>
      <c r="J508" s="16"/>
      <c r="K508" s="14">
        <f>Table1[[#This Row],[Complexity]]*$A$11+SUM(Table1[[#This Row],[Other 
Integration]:[OEM 
Integration]])*$C$11</f>
        <v>0</v>
      </c>
      <c r="L508" s="7"/>
      <c r="M508" s="7"/>
    </row>
    <row r="509" spans="1:13" x14ac:dyDescent="0.3">
      <c r="A509" s="14">
        <v>493</v>
      </c>
      <c r="B509" s="14"/>
      <c r="C509" s="14"/>
      <c r="D509" s="14"/>
      <c r="E509" s="14"/>
      <c r="F509" s="14"/>
      <c r="G509" s="14"/>
      <c r="H509" s="14"/>
      <c r="I509" s="14"/>
      <c r="J509" s="16"/>
      <c r="K509" s="14">
        <f>Table1[[#This Row],[Complexity]]*$A$11+SUM(Table1[[#This Row],[Other 
Integration]:[OEM 
Integration]])*$C$11</f>
        <v>0</v>
      </c>
      <c r="L509" s="7"/>
      <c r="M509" s="7"/>
    </row>
    <row r="510" spans="1:13" x14ac:dyDescent="0.3">
      <c r="A510" s="14">
        <v>494</v>
      </c>
      <c r="B510" s="14"/>
      <c r="C510" s="14"/>
      <c r="D510" s="14"/>
      <c r="E510" s="14"/>
      <c r="F510" s="14"/>
      <c r="G510" s="14"/>
      <c r="H510" s="14"/>
      <c r="I510" s="14"/>
      <c r="J510" s="16"/>
      <c r="K510" s="14">
        <f>Table1[[#This Row],[Complexity]]*$A$11+SUM(Table1[[#This Row],[Other 
Integration]:[OEM 
Integration]])*$C$11</f>
        <v>0</v>
      </c>
      <c r="L510" s="7"/>
      <c r="M510" s="7"/>
    </row>
    <row r="511" spans="1:13" x14ac:dyDescent="0.3">
      <c r="A511" s="14">
        <v>495</v>
      </c>
      <c r="B511" s="14"/>
      <c r="C511" s="14"/>
      <c r="D511" s="14"/>
      <c r="E511" s="14"/>
      <c r="F511" s="14"/>
      <c r="G511" s="14"/>
      <c r="H511" s="14"/>
      <c r="I511" s="14"/>
      <c r="J511" s="16"/>
      <c r="K511" s="14">
        <f>Table1[[#This Row],[Complexity]]*$A$11+SUM(Table1[[#This Row],[Other 
Integration]:[OEM 
Integration]])*$C$11</f>
        <v>0</v>
      </c>
      <c r="L511" s="7"/>
      <c r="M511" s="7"/>
    </row>
    <row r="512" spans="1:13" x14ac:dyDescent="0.3">
      <c r="A512" s="14">
        <v>496</v>
      </c>
      <c r="B512" s="14"/>
      <c r="C512" s="14"/>
      <c r="D512" s="14"/>
      <c r="E512" s="14"/>
      <c r="F512" s="14"/>
      <c r="G512" s="14"/>
      <c r="H512" s="14"/>
      <c r="I512" s="14"/>
      <c r="J512" s="16"/>
      <c r="K512" s="14">
        <f>Table1[[#This Row],[Complexity]]*$A$11+SUM(Table1[[#This Row],[Other 
Integration]:[OEM 
Integration]])*$C$11</f>
        <v>0</v>
      </c>
      <c r="L512" s="7"/>
      <c r="M512" s="7"/>
    </row>
    <row r="513" spans="1:13" x14ac:dyDescent="0.3">
      <c r="A513" s="14">
        <v>497</v>
      </c>
      <c r="B513" s="14"/>
      <c r="C513" s="14"/>
      <c r="D513" s="14"/>
      <c r="E513" s="14"/>
      <c r="F513" s="14"/>
      <c r="G513" s="14"/>
      <c r="H513" s="14"/>
      <c r="I513" s="14"/>
      <c r="J513" s="16"/>
      <c r="K513" s="14">
        <f>Table1[[#This Row],[Complexity]]*$A$11+SUM(Table1[[#This Row],[Other 
Integration]:[OEM 
Integration]])*$C$11</f>
        <v>0</v>
      </c>
      <c r="L513" s="7"/>
      <c r="M513" s="7"/>
    </row>
    <row r="514" spans="1:13" x14ac:dyDescent="0.3"/>
    <row r="515" spans="1:13" x14ac:dyDescent="0.3"/>
  </sheetData>
  <sheetProtection algorithmName="SHA-512" hashValue="ZKN9YPHykC0BRTrxdamuNRYRaqIkRYa55nBJUfMq9u7ycOJXKFwdcFQZ0UcGOhvzJ6ojUestuWyZ8lS4KthqxQ==" saltValue="Dc2SOMSbwitXjM8xtGGXTg==" spinCount="100000" sheet="1" objects="1" scenarios="1" formatCells="0" formatColumns="0" formatRows="0"/>
  <mergeCells count="30">
    <mergeCell ref="L3:M6"/>
    <mergeCell ref="L7:M12"/>
    <mergeCell ref="A15:K15"/>
    <mergeCell ref="A13:K13"/>
    <mergeCell ref="B4:C4"/>
    <mergeCell ref="B5:C5"/>
    <mergeCell ref="B6:C6"/>
    <mergeCell ref="B7:C7"/>
    <mergeCell ref="B8:C8"/>
    <mergeCell ref="D6:F6"/>
    <mergeCell ref="D7:F7"/>
    <mergeCell ref="D8:F8"/>
    <mergeCell ref="A9:F9"/>
    <mergeCell ref="H8:J8"/>
    <mergeCell ref="L13:M23"/>
    <mergeCell ref="A2:F2"/>
    <mergeCell ref="H2:K2"/>
    <mergeCell ref="H7:J7"/>
    <mergeCell ref="A12:K12"/>
    <mergeCell ref="A10:B10"/>
    <mergeCell ref="A11:B11"/>
    <mergeCell ref="C10:D10"/>
    <mergeCell ref="C11:D11"/>
    <mergeCell ref="E10:F10"/>
    <mergeCell ref="E11:F11"/>
    <mergeCell ref="G10:H10"/>
    <mergeCell ref="G11:H11"/>
    <mergeCell ref="B3:F3"/>
    <mergeCell ref="D4:F4"/>
    <mergeCell ref="D5:F5"/>
  </mergeCells>
  <dataValidations count="4">
    <dataValidation type="whole" allowBlank="1" showInputMessage="1" showErrorMessage="1" error="Please enter number of integration points required._x000a_i.e :if production ,consumption and alarm data to be integrated then 3 integration points._x000a_" promptTitle="No of Data points" prompt="No of integration data points._x000a__x000a_e.g: _x000a_if prodcution and consumption data to be integrated. then answer is 2._x000a__x000a_if only prodcution data to be integrated. then answer is 1." sqref="G17:I513" xr:uid="{72978194-CC67-415E-8CB8-8D37FFF7A2B9}">
      <formula1>1</formula1>
      <formula2>20</formula2>
    </dataValidation>
    <dataValidation type="whole" allowBlank="1" showInputMessage="1" showErrorMessage="1" error="Please enter number of integration points required._x000a_i.e :if production ,consumption and alarm data to be integrated then 3 integration points._x000a_" promptTitle="No Of Data points" prompt="No of integration data points._x000a__x000a_e.g: _x000a_if prodcution and consumption data to be integrated. then answer is 2._x000a__x000a_if only prodcution data to be integrated. then answer is 1." sqref="G16" xr:uid="{0735720B-A81E-4169-84E6-E72E9711413B}">
      <formula1>1</formula1>
      <formula2>20</formula2>
    </dataValidation>
    <dataValidation type="list" allowBlank="1" showInputMessage="1" showErrorMessage="1" sqref="B17:B513" xr:uid="{B4E3DE85-BAC3-4D38-9D31-5B978DE7B125}">
      <formula1>"IT,OT"</formula1>
    </dataValidation>
    <dataValidation type="list" allowBlank="1" showInputMessage="1" showErrorMessage="1" promptTitle="Complexity level" prompt="1- Simple_x000a_2- Simple Medium_x000a_3- Medium_x000a_4- Medium Complex_x000a_5- Complex" sqref="J16:J513" xr:uid="{1F9046B5-F36F-42AD-8A95-01AC1A7C463B}">
      <formula1>$A$4:$A$8</formula1>
    </dataValidation>
  </dataValidations>
  <pageMargins left="0.7" right="0.7" top="0.75" bottom="0.75" header="0.3" footer="0.3"/>
  <pageSetup orientation="portrait" horizontalDpi="300" verticalDpi="300" r:id="rId1"/>
  <headerFooter>
    <oddHeader>&amp;C&amp;"Aptos"&amp;10&amp;K008000 Confidential GREEN&amp;1#_x000D_</oddHead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5762F-13C6-4EC1-800F-434751B6ED57}">
  <sheetPr>
    <tabColor rgb="FF00B050"/>
  </sheetPr>
  <dimension ref="A1:DA90"/>
  <sheetViews>
    <sheetView zoomScaleNormal="100" workbookViewId="0">
      <pane xSplit="7" ySplit="9" topLeftCell="H36" activePane="bottomRight" state="frozen"/>
      <selection pane="topRight" activeCell="H1" sqref="H1"/>
      <selection pane="bottomLeft" activeCell="A10" sqref="A10"/>
      <selection pane="bottomRight" activeCell="J25" sqref="J25"/>
    </sheetView>
  </sheetViews>
  <sheetFormatPr defaultColWidth="0" defaultRowHeight="14.4" zeroHeight="1" outlineLevelRow="2" x14ac:dyDescent="0.3"/>
  <cols>
    <col min="1" max="1" width="3.77734375" bestFit="1" customWidth="1"/>
    <col min="2" max="2" width="2.6640625" customWidth="1"/>
    <col min="3" max="3" width="2.77734375" customWidth="1"/>
    <col min="4" max="4" width="11.44140625" customWidth="1"/>
    <col min="5" max="5" width="7.5546875" customWidth="1"/>
    <col min="6" max="6" width="5.44140625" customWidth="1"/>
    <col min="7" max="9" width="5.21875" customWidth="1"/>
    <col min="10" max="10" width="2.33203125" customWidth="1"/>
    <col min="11" max="105" width="2.21875" customWidth="1"/>
    <col min="106" max="16384" width="3.33203125" hidden="1"/>
  </cols>
  <sheetData>
    <row r="1" spans="1:105" ht="15" thickBot="1" x14ac:dyDescent="0.35">
      <c r="A1" s="302" t="s">
        <v>66</v>
      </c>
      <c r="B1" s="302"/>
      <c r="C1" s="302"/>
      <c r="D1" s="302"/>
      <c r="E1" s="302"/>
      <c r="F1" s="302"/>
      <c r="G1" s="302"/>
      <c r="H1" s="302"/>
      <c r="I1" s="302"/>
      <c r="J1" s="302"/>
      <c r="K1" s="302"/>
      <c r="L1" s="302"/>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c r="AO1" s="302"/>
      <c r="AP1" s="302"/>
      <c r="AQ1" s="302"/>
      <c r="AR1" s="302"/>
      <c r="AS1" s="302"/>
      <c r="AT1" s="302"/>
      <c r="AU1" s="302"/>
      <c r="AV1" s="302"/>
      <c r="AW1" s="302"/>
      <c r="AX1" s="302"/>
      <c r="AY1" s="302"/>
      <c r="AZ1" s="302"/>
      <c r="BA1" s="302"/>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row>
    <row r="2" spans="1:105" ht="25.8" customHeight="1" outlineLevel="1" x14ac:dyDescent="0.3">
      <c r="A2" s="107"/>
      <c r="B2" s="306"/>
      <c r="C2" s="306"/>
      <c r="D2" s="307"/>
      <c r="E2" s="287" t="s">
        <v>84</v>
      </c>
      <c r="F2" s="288"/>
      <c r="G2" s="289"/>
      <c r="H2" s="212"/>
      <c r="I2" s="212"/>
      <c r="J2" s="287" t="s">
        <v>85</v>
      </c>
      <c r="K2" s="288"/>
      <c r="L2" s="288"/>
      <c r="M2" s="288"/>
      <c r="N2" s="288"/>
      <c r="O2" s="288"/>
      <c r="P2" s="288"/>
      <c r="Q2" s="288"/>
      <c r="R2" s="288"/>
      <c r="S2" s="288"/>
      <c r="T2" s="289"/>
      <c r="U2" s="287" t="s">
        <v>86</v>
      </c>
      <c r="V2" s="288"/>
      <c r="W2" s="288"/>
      <c r="X2" s="288"/>
      <c r="Y2" s="288"/>
      <c r="Z2" s="288"/>
      <c r="AA2" s="288"/>
      <c r="AB2" s="288"/>
      <c r="AC2" s="288"/>
      <c r="AD2" s="288"/>
      <c r="AE2" s="288"/>
      <c r="AF2" s="288"/>
      <c r="AG2" s="288"/>
      <c r="AH2" s="288"/>
      <c r="AI2" s="288"/>
      <c r="AJ2" s="288"/>
      <c r="AK2" s="288"/>
      <c r="AL2" s="288"/>
      <c r="AM2" s="288"/>
      <c r="AN2" s="288"/>
      <c r="AO2" s="289"/>
      <c r="AP2" s="108"/>
      <c r="AQ2" s="108"/>
      <c r="AR2" s="311" t="e" vm="2">
        <v>#VALUE!</v>
      </c>
      <c r="AS2" s="311"/>
      <c r="AT2" s="311"/>
      <c r="AU2" s="311"/>
      <c r="AV2" s="311"/>
      <c r="AW2" s="311"/>
      <c r="AX2" s="311"/>
      <c r="AY2" s="311"/>
      <c r="AZ2" s="311"/>
      <c r="BA2" s="311"/>
      <c r="BB2" s="311"/>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row>
    <row r="3" spans="1:105" ht="12.6" customHeight="1" outlineLevel="1" x14ac:dyDescent="0.3">
      <c r="A3" s="320" t="s">
        <v>225</v>
      </c>
      <c r="B3" s="321"/>
      <c r="C3" s="321"/>
      <c r="D3" s="322"/>
      <c r="E3" s="290">
        <f>SUM(G11:G17)*5</f>
        <v>0</v>
      </c>
      <c r="F3" s="291"/>
      <c r="G3" s="292"/>
      <c r="H3" s="213"/>
      <c r="I3" s="213"/>
      <c r="J3" s="290">
        <f>'2.Effort Estimation'!K3/8</f>
        <v>0</v>
      </c>
      <c r="K3" s="291"/>
      <c r="L3" s="291"/>
      <c r="M3" s="291"/>
      <c r="N3" s="291"/>
      <c r="O3" s="291"/>
      <c r="P3" s="291"/>
      <c r="Q3" s="291"/>
      <c r="R3" s="291"/>
      <c r="S3" s="291"/>
      <c r="T3" s="292"/>
      <c r="U3" s="296" t="str">
        <f>_xlfn.CONCAT(J3-E3," Days")</f>
        <v>0 Days</v>
      </c>
      <c r="V3" s="297"/>
      <c r="W3" s="297"/>
      <c r="X3" s="297"/>
      <c r="Y3" s="297"/>
      <c r="Z3" s="297"/>
      <c r="AA3" s="297"/>
      <c r="AB3" s="297"/>
      <c r="AC3" s="297"/>
      <c r="AD3" s="297"/>
      <c r="AE3" s="297"/>
      <c r="AF3" s="297"/>
      <c r="AG3" s="297"/>
      <c r="AH3" s="297"/>
      <c r="AI3" s="297"/>
      <c r="AJ3" s="297"/>
      <c r="AK3" s="297"/>
      <c r="AL3" s="297"/>
      <c r="AM3" s="297"/>
      <c r="AN3" s="297"/>
      <c r="AO3" s="298"/>
      <c r="AP3" s="1"/>
      <c r="AQ3" s="1"/>
      <c r="AR3" s="312"/>
      <c r="AS3" s="312"/>
      <c r="AT3" s="312"/>
      <c r="AU3" s="312"/>
      <c r="AV3" s="312"/>
      <c r="AW3" s="312"/>
      <c r="AX3" s="312"/>
      <c r="AY3" s="312"/>
      <c r="AZ3" s="312"/>
      <c r="BA3" s="312"/>
      <c r="BB3" s="312"/>
      <c r="BC3" s="336" t="s">
        <v>333</v>
      </c>
      <c r="BD3" s="336"/>
      <c r="BE3" s="336"/>
      <c r="BF3" s="336"/>
      <c r="BG3" s="336"/>
      <c r="BH3" s="336"/>
      <c r="BI3" s="336"/>
      <c r="BJ3" s="336"/>
      <c r="BK3" s="336"/>
      <c r="BL3" s="336"/>
      <c r="BM3" s="336"/>
      <c r="BN3" s="336"/>
      <c r="BO3" s="336"/>
      <c r="BP3" s="336"/>
      <c r="BQ3" s="336"/>
      <c r="BR3" s="336"/>
      <c r="BS3" s="336"/>
      <c r="BT3" s="336"/>
      <c r="BU3" s="336"/>
      <c r="BV3" s="336"/>
      <c r="BW3" s="336"/>
      <c r="BX3" s="336"/>
      <c r="BY3" s="336"/>
      <c r="BZ3" s="336"/>
      <c r="CA3" s="336"/>
      <c r="CB3" s="336"/>
      <c r="CC3" s="336"/>
      <c r="CD3" s="336"/>
      <c r="CE3" s="336"/>
      <c r="CF3" s="336"/>
      <c r="CG3" s="336"/>
      <c r="CH3" s="336"/>
      <c r="CI3" s="336"/>
      <c r="CJ3" s="336"/>
      <c r="CK3" s="336"/>
      <c r="CL3" s="336"/>
      <c r="CM3" s="336"/>
      <c r="CN3" s="336"/>
      <c r="CO3" s="336"/>
      <c r="CP3" s="336"/>
      <c r="CQ3" s="336"/>
      <c r="CR3" s="336"/>
      <c r="CS3" s="336"/>
      <c r="CT3" s="336"/>
      <c r="CU3" s="336"/>
      <c r="CV3" s="336"/>
      <c r="CW3" s="336"/>
      <c r="CX3" s="336"/>
      <c r="CY3" s="1"/>
      <c r="CZ3" s="1"/>
      <c r="DA3" s="1"/>
    </row>
    <row r="4" spans="1:105" ht="15.6" customHeight="1" outlineLevel="1" x14ac:dyDescent="0.3">
      <c r="A4" s="320" t="s">
        <v>226</v>
      </c>
      <c r="B4" s="321"/>
      <c r="C4" s="321"/>
      <c r="D4" s="322"/>
      <c r="E4" s="293">
        <f>SUM(G19:G25)*5</f>
        <v>0</v>
      </c>
      <c r="F4" s="294"/>
      <c r="G4" s="295"/>
      <c r="H4" s="214"/>
      <c r="I4" s="214"/>
      <c r="J4" s="293">
        <f>'2.Effort Estimation'!I3/8</f>
        <v>0</v>
      </c>
      <c r="K4" s="294"/>
      <c r="L4" s="294"/>
      <c r="M4" s="294"/>
      <c r="N4" s="294"/>
      <c r="O4" s="294"/>
      <c r="P4" s="294"/>
      <c r="Q4" s="294"/>
      <c r="R4" s="294"/>
      <c r="S4" s="294"/>
      <c r="T4" s="295"/>
      <c r="U4" s="296" t="str">
        <f>_xlfn.CONCAT(J4-E4," Days")</f>
        <v>0 Days</v>
      </c>
      <c r="V4" s="297"/>
      <c r="W4" s="297"/>
      <c r="X4" s="297"/>
      <c r="Y4" s="297"/>
      <c r="Z4" s="297"/>
      <c r="AA4" s="297"/>
      <c r="AB4" s="297"/>
      <c r="AC4" s="297"/>
      <c r="AD4" s="297"/>
      <c r="AE4" s="297"/>
      <c r="AF4" s="297"/>
      <c r="AG4" s="297"/>
      <c r="AH4" s="297"/>
      <c r="AI4" s="297"/>
      <c r="AJ4" s="297"/>
      <c r="AK4" s="297"/>
      <c r="AL4" s="297"/>
      <c r="AM4" s="297"/>
      <c r="AN4" s="297"/>
      <c r="AO4" s="298"/>
      <c r="AP4" s="1"/>
      <c r="AQ4" s="1"/>
      <c r="AR4" s="312"/>
      <c r="AS4" s="312"/>
      <c r="AT4" s="312"/>
      <c r="AU4" s="312"/>
      <c r="AV4" s="312"/>
      <c r="AW4" s="312"/>
      <c r="AX4" s="312"/>
      <c r="AY4" s="312"/>
      <c r="AZ4" s="312"/>
      <c r="BA4" s="312"/>
      <c r="BB4" s="312"/>
      <c r="BC4" s="336"/>
      <c r="BD4" s="336"/>
      <c r="BE4" s="336"/>
      <c r="BF4" s="336"/>
      <c r="BG4" s="336"/>
      <c r="BH4" s="336"/>
      <c r="BI4" s="336"/>
      <c r="BJ4" s="336"/>
      <c r="BK4" s="336"/>
      <c r="BL4" s="336"/>
      <c r="BM4" s="336"/>
      <c r="BN4" s="336"/>
      <c r="BO4" s="336"/>
      <c r="BP4" s="336"/>
      <c r="BQ4" s="336"/>
      <c r="BR4" s="336"/>
      <c r="BS4" s="336"/>
      <c r="BT4" s="336"/>
      <c r="BU4" s="336"/>
      <c r="BV4" s="336"/>
      <c r="BW4" s="336"/>
      <c r="BX4" s="336"/>
      <c r="BY4" s="336"/>
      <c r="BZ4" s="336"/>
      <c r="CA4" s="336"/>
      <c r="CB4" s="336"/>
      <c r="CC4" s="336"/>
      <c r="CD4" s="336"/>
      <c r="CE4" s="336"/>
      <c r="CF4" s="336"/>
      <c r="CG4" s="336"/>
      <c r="CH4" s="336"/>
      <c r="CI4" s="336"/>
      <c r="CJ4" s="336"/>
      <c r="CK4" s="336"/>
      <c r="CL4" s="336"/>
      <c r="CM4" s="336"/>
      <c r="CN4" s="336"/>
      <c r="CO4" s="336"/>
      <c r="CP4" s="336"/>
      <c r="CQ4" s="336"/>
      <c r="CR4" s="336"/>
      <c r="CS4" s="336"/>
      <c r="CT4" s="336"/>
      <c r="CU4" s="336"/>
      <c r="CV4" s="336"/>
      <c r="CW4" s="336"/>
      <c r="CX4" s="336"/>
      <c r="CY4" s="1"/>
      <c r="CZ4" s="1"/>
      <c r="DA4" s="1"/>
    </row>
    <row r="5" spans="1:105" ht="15.6" customHeight="1" outlineLevel="1" x14ac:dyDescent="0.3">
      <c r="A5" s="320" t="s">
        <v>224</v>
      </c>
      <c r="B5" s="321"/>
      <c r="C5" s="321"/>
      <c r="D5" s="322"/>
      <c r="E5" s="293">
        <f>SUM(G10,G18,G26)*5</f>
        <v>0</v>
      </c>
      <c r="F5" s="294"/>
      <c r="G5" s="295"/>
      <c r="H5" s="214"/>
      <c r="I5" s="214"/>
      <c r="J5" s="293">
        <f>('2.Effort Estimation'!I5+'2.Effort Estimation'!K4)/8</f>
        <v>0</v>
      </c>
      <c r="K5" s="294"/>
      <c r="L5" s="294"/>
      <c r="M5" s="294"/>
      <c r="N5" s="294"/>
      <c r="O5" s="294"/>
      <c r="P5" s="294"/>
      <c r="Q5" s="294"/>
      <c r="R5" s="294"/>
      <c r="S5" s="294"/>
      <c r="T5" s="295"/>
      <c r="U5" s="296" t="str">
        <f>_xlfn.CONCAT(J5-E5," Days")</f>
        <v>0 Days</v>
      </c>
      <c r="V5" s="297"/>
      <c r="W5" s="297"/>
      <c r="X5" s="297"/>
      <c r="Y5" s="297"/>
      <c r="Z5" s="297"/>
      <c r="AA5" s="297"/>
      <c r="AB5" s="297"/>
      <c r="AC5" s="297"/>
      <c r="AD5" s="297"/>
      <c r="AE5" s="297"/>
      <c r="AF5" s="297"/>
      <c r="AG5" s="297"/>
      <c r="AH5" s="297"/>
      <c r="AI5" s="297"/>
      <c r="AJ5" s="297"/>
      <c r="AK5" s="297"/>
      <c r="AL5" s="297"/>
      <c r="AM5" s="297"/>
      <c r="AN5" s="297"/>
      <c r="AO5" s="298"/>
      <c r="AP5" s="1"/>
      <c r="AQ5" s="1"/>
      <c r="AR5" s="312"/>
      <c r="AS5" s="312"/>
      <c r="AT5" s="312"/>
      <c r="AU5" s="312"/>
      <c r="AV5" s="312"/>
      <c r="AW5" s="312"/>
      <c r="AX5" s="312"/>
      <c r="AY5" s="312"/>
      <c r="AZ5" s="312"/>
      <c r="BA5" s="312"/>
      <c r="BB5" s="312"/>
      <c r="BC5" s="336"/>
      <c r="BD5" s="336"/>
      <c r="BE5" s="336"/>
      <c r="BF5" s="336"/>
      <c r="BG5" s="336"/>
      <c r="BH5" s="336"/>
      <c r="BI5" s="336"/>
      <c r="BJ5" s="336"/>
      <c r="BK5" s="336"/>
      <c r="BL5" s="336"/>
      <c r="BM5" s="336"/>
      <c r="BN5" s="336"/>
      <c r="BO5" s="336"/>
      <c r="BP5" s="336"/>
      <c r="BQ5" s="336"/>
      <c r="BR5" s="336"/>
      <c r="BS5" s="336"/>
      <c r="BT5" s="336"/>
      <c r="BU5" s="336"/>
      <c r="BV5" s="336"/>
      <c r="BW5" s="336"/>
      <c r="BX5" s="336"/>
      <c r="BY5" s="336"/>
      <c r="BZ5" s="336"/>
      <c r="CA5" s="336"/>
      <c r="CB5" s="336"/>
      <c r="CC5" s="336"/>
      <c r="CD5" s="336"/>
      <c r="CE5" s="336"/>
      <c r="CF5" s="336"/>
      <c r="CG5" s="336"/>
      <c r="CH5" s="336"/>
      <c r="CI5" s="336"/>
      <c r="CJ5" s="336"/>
      <c r="CK5" s="336"/>
      <c r="CL5" s="336"/>
      <c r="CM5" s="336"/>
      <c r="CN5" s="336"/>
      <c r="CO5" s="336"/>
      <c r="CP5" s="336"/>
      <c r="CQ5" s="336"/>
      <c r="CR5" s="336"/>
      <c r="CS5" s="336"/>
      <c r="CT5" s="336"/>
      <c r="CU5" s="336"/>
      <c r="CV5" s="336"/>
      <c r="CW5" s="336"/>
      <c r="CX5" s="336"/>
      <c r="CY5" s="1"/>
      <c r="CZ5" s="1"/>
      <c r="DA5" s="1"/>
    </row>
    <row r="6" spans="1:105" ht="15.6" customHeight="1" outlineLevel="1" thickBot="1" x14ac:dyDescent="0.35">
      <c r="A6" s="303" t="s">
        <v>21</v>
      </c>
      <c r="B6" s="304"/>
      <c r="C6" s="304"/>
      <c r="D6" s="305"/>
      <c r="E6" s="308">
        <f>SUM(G10:G28)*5</f>
        <v>0</v>
      </c>
      <c r="F6" s="309"/>
      <c r="G6" s="310"/>
      <c r="H6" s="211"/>
      <c r="I6" s="211"/>
      <c r="J6" s="308">
        <f>'2.Effort Estimation'!K8</f>
        <v>0</v>
      </c>
      <c r="K6" s="309"/>
      <c r="L6" s="309"/>
      <c r="M6" s="309"/>
      <c r="N6" s="309"/>
      <c r="O6" s="309"/>
      <c r="P6" s="309"/>
      <c r="Q6" s="309"/>
      <c r="R6" s="309"/>
      <c r="S6" s="309"/>
      <c r="T6" s="310"/>
      <c r="U6" s="299" t="str">
        <f>_xlfn.CONCAT(J6-E6," Days")</f>
        <v>0 Days</v>
      </c>
      <c r="V6" s="300"/>
      <c r="W6" s="300"/>
      <c r="X6" s="300"/>
      <c r="Y6" s="300"/>
      <c r="Z6" s="300"/>
      <c r="AA6" s="300"/>
      <c r="AB6" s="300"/>
      <c r="AC6" s="300"/>
      <c r="AD6" s="300"/>
      <c r="AE6" s="300"/>
      <c r="AF6" s="300"/>
      <c r="AG6" s="300"/>
      <c r="AH6" s="300"/>
      <c r="AI6" s="300"/>
      <c r="AJ6" s="300"/>
      <c r="AK6" s="300"/>
      <c r="AL6" s="300"/>
      <c r="AM6" s="300"/>
      <c r="AN6" s="300"/>
      <c r="AO6" s="301"/>
      <c r="AP6" s="109"/>
      <c r="AQ6" s="109"/>
      <c r="AR6" s="313"/>
      <c r="AS6" s="313"/>
      <c r="AT6" s="313"/>
      <c r="AU6" s="313"/>
      <c r="AV6" s="313"/>
      <c r="AW6" s="313"/>
      <c r="AX6" s="313"/>
      <c r="AY6" s="313"/>
      <c r="AZ6" s="313"/>
      <c r="BA6" s="313"/>
      <c r="BB6" s="313"/>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c r="CU6" s="109"/>
      <c r="CV6" s="109"/>
      <c r="CW6" s="109"/>
      <c r="CX6" s="109"/>
      <c r="CY6" s="109"/>
      <c r="CZ6" s="109"/>
      <c r="DA6" s="109"/>
    </row>
    <row r="7" spans="1:105" ht="18" outlineLevel="1" x14ac:dyDescent="0.35">
      <c r="A7" s="340" t="s">
        <v>350</v>
      </c>
      <c r="B7" s="340"/>
      <c r="C7" s="340"/>
      <c r="D7" s="340"/>
      <c r="E7" s="340"/>
      <c r="F7" s="340"/>
      <c r="G7" s="340"/>
      <c r="H7" s="340"/>
      <c r="I7" s="341"/>
      <c r="J7" s="33"/>
      <c r="K7" s="34"/>
      <c r="L7" s="34"/>
      <c r="M7" s="35"/>
      <c r="N7" s="35"/>
      <c r="O7" s="35"/>
      <c r="P7" s="35"/>
      <c r="Q7" s="35"/>
      <c r="R7" s="35"/>
      <c r="S7" s="35"/>
      <c r="T7" s="35"/>
      <c r="U7" s="35"/>
      <c r="V7" s="35"/>
      <c r="W7" s="35"/>
      <c r="X7" s="35"/>
      <c r="Y7" s="35"/>
      <c r="Z7" s="35"/>
      <c r="AA7" s="35"/>
      <c r="AB7" s="35"/>
      <c r="AC7" s="35"/>
      <c r="AD7" s="35"/>
      <c r="AE7" s="35"/>
      <c r="AF7" s="35"/>
      <c r="AG7" s="35" t="s">
        <v>173</v>
      </c>
      <c r="AH7" s="35"/>
      <c r="AI7" s="35"/>
      <c r="AJ7" s="35"/>
      <c r="AK7" s="35"/>
      <c r="AL7" s="35"/>
      <c r="AM7" s="35"/>
      <c r="AN7" s="35"/>
      <c r="AO7" s="35"/>
      <c r="AP7" s="35"/>
      <c r="AQ7" s="35"/>
      <c r="AR7" s="35"/>
      <c r="AS7" s="35"/>
      <c r="AT7" s="35"/>
      <c r="AU7" s="35"/>
      <c r="AV7" s="35"/>
      <c r="AW7" s="35"/>
      <c r="AX7" s="35"/>
      <c r="AY7" s="35"/>
      <c r="AZ7" s="35"/>
      <c r="BA7" s="35"/>
      <c r="BB7" s="35"/>
      <c r="BC7" s="35"/>
      <c r="BD7" s="35"/>
      <c r="BE7" s="151"/>
      <c r="BF7" s="35"/>
      <c r="BG7" s="35"/>
      <c r="BH7" s="35"/>
      <c r="BI7" s="35"/>
      <c r="BJ7" s="35"/>
      <c r="BK7" s="35"/>
      <c r="BL7" s="35"/>
      <c r="BM7" s="35"/>
      <c r="BN7" s="35"/>
      <c r="BO7" s="35"/>
      <c r="BP7" s="35"/>
      <c r="BQ7" s="35"/>
      <c r="BR7" s="35"/>
      <c r="BS7" s="35"/>
      <c r="BT7" s="35"/>
      <c r="BU7" s="35"/>
      <c r="BV7" s="35"/>
      <c r="BW7" s="35"/>
      <c r="BX7" s="35"/>
      <c r="BY7" s="35"/>
      <c r="BZ7" s="35"/>
      <c r="CA7" s="35"/>
      <c r="CB7" s="35"/>
      <c r="CC7" s="35" t="s">
        <v>174</v>
      </c>
      <c r="CD7" s="35"/>
      <c r="CE7" s="35"/>
      <c r="CF7" s="35"/>
      <c r="CG7" s="35"/>
      <c r="CH7" s="35"/>
      <c r="CI7" s="35"/>
      <c r="CJ7" s="35"/>
      <c r="CK7" s="35"/>
      <c r="CL7" s="35"/>
      <c r="CM7" s="35"/>
      <c r="CN7" s="35"/>
      <c r="CO7" s="35"/>
      <c r="CP7" s="35"/>
      <c r="CQ7" s="35"/>
      <c r="CR7" s="35"/>
      <c r="CS7" s="35"/>
      <c r="CT7" s="35"/>
      <c r="CU7" s="35"/>
      <c r="CV7" s="35"/>
      <c r="CW7" s="35"/>
      <c r="CX7" s="35"/>
      <c r="CY7" s="35"/>
      <c r="CZ7" s="35"/>
      <c r="DA7" s="36"/>
    </row>
    <row r="8" spans="1:105" s="244" customFormat="1" ht="14.4" customHeight="1" outlineLevel="1" x14ac:dyDescent="0.2">
      <c r="B8" s="283" t="s">
        <v>74</v>
      </c>
      <c r="C8" s="314" t="s">
        <v>75</v>
      </c>
      <c r="D8" s="315"/>
      <c r="E8" s="315"/>
      <c r="F8" s="316"/>
      <c r="G8" s="283" t="s">
        <v>342</v>
      </c>
      <c r="H8" s="283" t="s">
        <v>340</v>
      </c>
      <c r="I8" s="283" t="s">
        <v>341</v>
      </c>
      <c r="J8" s="339" t="s">
        <v>176</v>
      </c>
      <c r="K8" s="279"/>
      <c r="L8" s="279"/>
      <c r="M8" s="279"/>
      <c r="N8" s="278" t="s">
        <v>177</v>
      </c>
      <c r="O8" s="279"/>
      <c r="P8" s="279"/>
      <c r="Q8" s="279"/>
      <c r="R8" s="278" t="s">
        <v>178</v>
      </c>
      <c r="S8" s="279"/>
      <c r="T8" s="279"/>
      <c r="U8" s="280"/>
      <c r="V8" s="278" t="s">
        <v>179</v>
      </c>
      <c r="W8" s="279"/>
      <c r="X8" s="279"/>
      <c r="Y8" s="279"/>
      <c r="Z8" s="278" t="s">
        <v>180</v>
      </c>
      <c r="AA8" s="279"/>
      <c r="AB8" s="279"/>
      <c r="AC8" s="279"/>
      <c r="AD8" s="278" t="s">
        <v>181</v>
      </c>
      <c r="AE8" s="279"/>
      <c r="AF8" s="279"/>
      <c r="AG8" s="279"/>
      <c r="AH8" s="278" t="s">
        <v>182</v>
      </c>
      <c r="AI8" s="279"/>
      <c r="AJ8" s="279"/>
      <c r="AK8" s="279"/>
      <c r="AL8" s="278" t="s">
        <v>183</v>
      </c>
      <c r="AM8" s="279"/>
      <c r="AN8" s="279"/>
      <c r="AO8" s="279"/>
      <c r="AP8" s="278" t="s">
        <v>184</v>
      </c>
      <c r="AQ8" s="279"/>
      <c r="AR8" s="279"/>
      <c r="AS8" s="279"/>
      <c r="AT8" s="278" t="s">
        <v>185</v>
      </c>
      <c r="AU8" s="279"/>
      <c r="AV8" s="279"/>
      <c r="AW8" s="279"/>
      <c r="AX8" s="278" t="s">
        <v>186</v>
      </c>
      <c r="AY8" s="279"/>
      <c r="AZ8" s="279"/>
      <c r="BA8" s="279"/>
      <c r="BB8" s="278" t="s">
        <v>187</v>
      </c>
      <c r="BC8" s="279"/>
      <c r="BD8" s="279"/>
      <c r="BE8" s="280"/>
      <c r="BF8" s="279" t="s">
        <v>188</v>
      </c>
      <c r="BG8" s="279"/>
      <c r="BH8" s="279"/>
      <c r="BI8" s="279"/>
      <c r="BJ8" s="278" t="s">
        <v>189</v>
      </c>
      <c r="BK8" s="279"/>
      <c r="BL8" s="279"/>
      <c r="BM8" s="279"/>
      <c r="BN8" s="278" t="s">
        <v>190</v>
      </c>
      <c r="BO8" s="279"/>
      <c r="BP8" s="279"/>
      <c r="BQ8" s="279"/>
      <c r="BR8" s="278" t="s">
        <v>191</v>
      </c>
      <c r="BS8" s="279"/>
      <c r="BT8" s="279"/>
      <c r="BU8" s="279"/>
      <c r="BV8" s="278" t="s">
        <v>192</v>
      </c>
      <c r="BW8" s="279"/>
      <c r="BX8" s="279"/>
      <c r="BY8" s="279"/>
      <c r="BZ8" s="278" t="s">
        <v>193</v>
      </c>
      <c r="CA8" s="279"/>
      <c r="CB8" s="279"/>
      <c r="CC8" s="279"/>
      <c r="CD8" s="278" t="s">
        <v>194</v>
      </c>
      <c r="CE8" s="279"/>
      <c r="CF8" s="279"/>
      <c r="CG8" s="279"/>
      <c r="CH8" s="278" t="s">
        <v>195</v>
      </c>
      <c r="CI8" s="279"/>
      <c r="CJ8" s="279"/>
      <c r="CK8" s="279"/>
      <c r="CL8" s="278" t="s">
        <v>196</v>
      </c>
      <c r="CM8" s="279"/>
      <c r="CN8" s="279"/>
      <c r="CO8" s="279"/>
      <c r="CP8" s="278" t="s">
        <v>197</v>
      </c>
      <c r="CQ8" s="279"/>
      <c r="CR8" s="279"/>
      <c r="CS8" s="279"/>
      <c r="CT8" s="278" t="s">
        <v>198</v>
      </c>
      <c r="CU8" s="279"/>
      <c r="CV8" s="279"/>
      <c r="CW8" s="279"/>
      <c r="CX8" s="278" t="s">
        <v>199</v>
      </c>
      <c r="CY8" s="279"/>
      <c r="CZ8" s="279"/>
      <c r="DA8" s="338"/>
    </row>
    <row r="9" spans="1:105" s="244" customFormat="1" ht="27.6" customHeight="1" outlineLevel="1" thickBot="1" x14ac:dyDescent="0.25">
      <c r="B9" s="284"/>
      <c r="C9" s="317"/>
      <c r="D9" s="318"/>
      <c r="E9" s="318"/>
      <c r="F9" s="319"/>
      <c r="G9" s="284"/>
      <c r="H9" s="284"/>
      <c r="I9" s="284"/>
      <c r="J9" s="37">
        <v>1</v>
      </c>
      <c r="K9" s="38">
        <v>2</v>
      </c>
      <c r="L9" s="38">
        <v>3</v>
      </c>
      <c r="M9" s="38">
        <v>4</v>
      </c>
      <c r="N9" s="38">
        <v>5</v>
      </c>
      <c r="O9" s="38">
        <v>6</v>
      </c>
      <c r="P9" s="38">
        <v>7</v>
      </c>
      <c r="Q9" s="38">
        <v>8</v>
      </c>
      <c r="R9" s="38">
        <v>9</v>
      </c>
      <c r="S9" s="38">
        <v>10</v>
      </c>
      <c r="T9" s="38">
        <v>11</v>
      </c>
      <c r="U9" s="38">
        <v>12</v>
      </c>
      <c r="V9" s="38">
        <v>13</v>
      </c>
      <c r="W9" s="38">
        <v>14</v>
      </c>
      <c r="X9" s="38">
        <v>15</v>
      </c>
      <c r="Y9" s="38">
        <v>16</v>
      </c>
      <c r="Z9" s="38">
        <v>17</v>
      </c>
      <c r="AA9" s="38">
        <v>18</v>
      </c>
      <c r="AB9" s="38">
        <v>19</v>
      </c>
      <c r="AC9" s="38">
        <v>20</v>
      </c>
      <c r="AD9" s="38">
        <v>21</v>
      </c>
      <c r="AE9" s="38">
        <v>22</v>
      </c>
      <c r="AF9" s="38">
        <v>23</v>
      </c>
      <c r="AG9" s="38">
        <v>24</v>
      </c>
      <c r="AH9" s="38">
        <v>25</v>
      </c>
      <c r="AI9" s="38">
        <v>26</v>
      </c>
      <c r="AJ9" s="38">
        <v>27</v>
      </c>
      <c r="AK9" s="38">
        <v>28</v>
      </c>
      <c r="AL9" s="38">
        <v>29</v>
      </c>
      <c r="AM9" s="38">
        <v>30</v>
      </c>
      <c r="AN9" s="38">
        <v>31</v>
      </c>
      <c r="AO9" s="38">
        <v>32</v>
      </c>
      <c r="AP9" s="38">
        <v>33</v>
      </c>
      <c r="AQ9" s="38">
        <v>34</v>
      </c>
      <c r="AR9" s="38">
        <v>35</v>
      </c>
      <c r="AS9" s="38">
        <v>36</v>
      </c>
      <c r="AT9" s="38">
        <v>37</v>
      </c>
      <c r="AU9" s="38">
        <v>38</v>
      </c>
      <c r="AV9" s="38">
        <v>39</v>
      </c>
      <c r="AW9" s="38">
        <v>40</v>
      </c>
      <c r="AX9" s="38">
        <v>41</v>
      </c>
      <c r="AY9" s="38">
        <v>42</v>
      </c>
      <c r="AZ9" s="38">
        <v>43</v>
      </c>
      <c r="BA9" s="38">
        <v>44</v>
      </c>
      <c r="BB9" s="38">
        <v>45</v>
      </c>
      <c r="BC9" s="38">
        <v>46</v>
      </c>
      <c r="BD9" s="38">
        <v>47</v>
      </c>
      <c r="BE9" s="38">
        <v>48</v>
      </c>
      <c r="BF9" s="40">
        <v>49</v>
      </c>
      <c r="BG9" s="38">
        <v>50</v>
      </c>
      <c r="BH9" s="38">
        <v>51</v>
      </c>
      <c r="BI9" s="38">
        <v>52</v>
      </c>
      <c r="BJ9" s="38">
        <v>53</v>
      </c>
      <c r="BK9" s="38">
        <v>54</v>
      </c>
      <c r="BL9" s="38">
        <v>55</v>
      </c>
      <c r="BM9" s="38">
        <v>56</v>
      </c>
      <c r="BN9" s="38">
        <v>57</v>
      </c>
      <c r="BO9" s="38">
        <v>58</v>
      </c>
      <c r="BP9" s="38">
        <v>59</v>
      </c>
      <c r="BQ9" s="38">
        <v>60</v>
      </c>
      <c r="BR9" s="38">
        <v>61</v>
      </c>
      <c r="BS9" s="38">
        <v>62</v>
      </c>
      <c r="BT9" s="38">
        <v>63</v>
      </c>
      <c r="BU9" s="38">
        <v>64</v>
      </c>
      <c r="BV9" s="38">
        <v>65</v>
      </c>
      <c r="BW9" s="38">
        <v>66</v>
      </c>
      <c r="BX9" s="38">
        <v>67</v>
      </c>
      <c r="BY9" s="38">
        <v>68</v>
      </c>
      <c r="BZ9" s="38">
        <v>69</v>
      </c>
      <c r="CA9" s="38">
        <v>70</v>
      </c>
      <c r="CB9" s="38">
        <v>71</v>
      </c>
      <c r="CC9" s="38">
        <v>72</v>
      </c>
      <c r="CD9" s="38">
        <v>73</v>
      </c>
      <c r="CE9" s="38">
        <v>74</v>
      </c>
      <c r="CF9" s="38">
        <v>75</v>
      </c>
      <c r="CG9" s="38">
        <v>76</v>
      </c>
      <c r="CH9" s="38">
        <v>77</v>
      </c>
      <c r="CI9" s="38">
        <v>78</v>
      </c>
      <c r="CJ9" s="38">
        <v>79</v>
      </c>
      <c r="CK9" s="38">
        <v>80</v>
      </c>
      <c r="CL9" s="38">
        <v>81</v>
      </c>
      <c r="CM9" s="38">
        <v>82</v>
      </c>
      <c r="CN9" s="38">
        <v>83</v>
      </c>
      <c r="CO9" s="38">
        <v>84</v>
      </c>
      <c r="CP9" s="38">
        <v>85</v>
      </c>
      <c r="CQ9" s="38">
        <v>86</v>
      </c>
      <c r="CR9" s="38">
        <v>87</v>
      </c>
      <c r="CS9" s="38">
        <v>88</v>
      </c>
      <c r="CT9" s="38">
        <v>89</v>
      </c>
      <c r="CU9" s="38">
        <v>90</v>
      </c>
      <c r="CV9" s="38">
        <v>91</v>
      </c>
      <c r="CW9" s="38">
        <v>92</v>
      </c>
      <c r="CX9" s="38">
        <v>93</v>
      </c>
      <c r="CY9" s="38">
        <v>94</v>
      </c>
      <c r="CZ9" s="38">
        <v>95</v>
      </c>
      <c r="DA9" s="39">
        <v>96</v>
      </c>
    </row>
    <row r="10" spans="1:105" s="244" customFormat="1" ht="14.4" customHeight="1" outlineLevel="1" x14ac:dyDescent="0.2">
      <c r="A10" s="259">
        <f t="shared" ref="A10:A18" si="0">MAX(J10:XFD10)</f>
        <v>0</v>
      </c>
      <c r="B10" s="332" t="s">
        <v>213</v>
      </c>
      <c r="C10" s="324" t="s">
        <v>82</v>
      </c>
      <c r="D10" s="324"/>
      <c r="E10" s="324"/>
      <c r="F10" s="229" t="s">
        <v>228</v>
      </c>
      <c r="G10" s="234">
        <f>SUM(J10:DA10)</f>
        <v>0</v>
      </c>
      <c r="H10" s="234">
        <f>G10*5</f>
        <v>0</v>
      </c>
      <c r="I10" s="234">
        <f>H10*6.7</f>
        <v>0</v>
      </c>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8"/>
      <c r="BD10" s="258"/>
      <c r="BE10" s="25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row>
    <row r="11" spans="1:105" s="244" customFormat="1" ht="14.4" customHeight="1" outlineLevel="1" x14ac:dyDescent="0.2">
      <c r="A11" s="259">
        <f t="shared" si="0"/>
        <v>0</v>
      </c>
      <c r="B11" s="333"/>
      <c r="C11" s="324" t="s">
        <v>231</v>
      </c>
      <c r="D11" s="324"/>
      <c r="E11" s="324" t="s">
        <v>19</v>
      </c>
      <c r="F11" s="231" t="s">
        <v>232</v>
      </c>
      <c r="G11" s="234">
        <f t="shared" ref="G11:G28" si="1">SUM(J11:DA11)</f>
        <v>0</v>
      </c>
      <c r="H11" s="234">
        <f t="shared" ref="H11:H28" si="2">G11*5</f>
        <v>0</v>
      </c>
      <c r="I11" s="234">
        <f t="shared" ref="I11:I28" si="3">H11*6.7</f>
        <v>0</v>
      </c>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2"/>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row>
    <row r="12" spans="1:105" s="244" customFormat="1" ht="14.4" customHeight="1" outlineLevel="1" x14ac:dyDescent="0.2">
      <c r="A12" s="259">
        <f t="shared" si="0"/>
        <v>0</v>
      </c>
      <c r="B12" s="333"/>
      <c r="C12" s="324" t="s">
        <v>204</v>
      </c>
      <c r="D12" s="324"/>
      <c r="E12" s="324" t="s">
        <v>202</v>
      </c>
      <c r="F12" s="231" t="s">
        <v>233</v>
      </c>
      <c r="G12" s="234">
        <f t="shared" si="1"/>
        <v>0</v>
      </c>
      <c r="H12" s="234">
        <f t="shared" si="2"/>
        <v>0</v>
      </c>
      <c r="I12" s="234">
        <f t="shared" si="3"/>
        <v>0</v>
      </c>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2"/>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row>
    <row r="13" spans="1:105" s="244" customFormat="1" ht="14.4" customHeight="1" outlineLevel="1" x14ac:dyDescent="0.2">
      <c r="A13" s="259">
        <f t="shared" si="0"/>
        <v>0</v>
      </c>
      <c r="B13" s="333"/>
      <c r="C13" s="324" t="s">
        <v>18</v>
      </c>
      <c r="D13" s="324"/>
      <c r="E13" s="324"/>
      <c r="F13" s="231" t="s">
        <v>230</v>
      </c>
      <c r="G13" s="234">
        <f t="shared" si="1"/>
        <v>0</v>
      </c>
      <c r="H13" s="234">
        <f t="shared" si="2"/>
        <v>0</v>
      </c>
      <c r="I13" s="234">
        <f t="shared" si="3"/>
        <v>0</v>
      </c>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2"/>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row>
    <row r="14" spans="1:105" s="244" customFormat="1" ht="14.4" customHeight="1" outlineLevel="1" thickBot="1" x14ac:dyDescent="0.25">
      <c r="A14" s="259">
        <f t="shared" si="0"/>
        <v>0</v>
      </c>
      <c r="B14" s="334"/>
      <c r="C14" s="325" t="s">
        <v>19</v>
      </c>
      <c r="D14" s="325"/>
      <c r="E14" s="325"/>
      <c r="F14" s="232" t="s">
        <v>229</v>
      </c>
      <c r="G14" s="235">
        <f t="shared" si="1"/>
        <v>0</v>
      </c>
      <c r="H14" s="235">
        <f t="shared" si="2"/>
        <v>0</v>
      </c>
      <c r="I14" s="235">
        <f t="shared" si="3"/>
        <v>0</v>
      </c>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200"/>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row>
    <row r="15" spans="1:105" s="244" customFormat="1" ht="14.4" customHeight="1" outlineLevel="1" x14ac:dyDescent="0.2">
      <c r="A15" s="259">
        <f t="shared" si="0"/>
        <v>0</v>
      </c>
      <c r="B15" s="332" t="s">
        <v>205</v>
      </c>
      <c r="C15" s="281" t="s">
        <v>77</v>
      </c>
      <c r="D15" s="281"/>
      <c r="E15" s="281"/>
      <c r="F15" s="236" t="s">
        <v>234</v>
      </c>
      <c r="G15" s="237">
        <f t="shared" si="1"/>
        <v>0</v>
      </c>
      <c r="H15" s="237">
        <f t="shared" si="2"/>
        <v>0</v>
      </c>
      <c r="I15" s="237">
        <f t="shared" si="3"/>
        <v>0</v>
      </c>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201"/>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198"/>
      <c r="CZ15" s="198"/>
      <c r="DA15" s="198"/>
    </row>
    <row r="16" spans="1:105" s="244" customFormat="1" ht="14.4" customHeight="1" outlineLevel="1" x14ac:dyDescent="0.2">
      <c r="A16" s="259">
        <f t="shared" si="0"/>
        <v>0</v>
      </c>
      <c r="B16" s="333"/>
      <c r="C16" s="282" t="s">
        <v>203</v>
      </c>
      <c r="D16" s="282"/>
      <c r="E16" s="282" t="s">
        <v>203</v>
      </c>
      <c r="F16" s="238" t="s">
        <v>235</v>
      </c>
      <c r="G16" s="260">
        <f t="shared" si="1"/>
        <v>0</v>
      </c>
      <c r="H16" s="260">
        <f t="shared" si="2"/>
        <v>0</v>
      </c>
      <c r="I16" s="260">
        <f t="shared" si="3"/>
        <v>0</v>
      </c>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2"/>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row>
    <row r="17" spans="1:105" s="244" customFormat="1" ht="15" customHeight="1" outlineLevel="1" thickBot="1" x14ac:dyDescent="0.25">
      <c r="A17" s="259">
        <f t="shared" si="0"/>
        <v>0</v>
      </c>
      <c r="B17" s="333"/>
      <c r="C17" s="323" t="s">
        <v>201</v>
      </c>
      <c r="D17" s="323"/>
      <c r="E17" s="323" t="s">
        <v>201</v>
      </c>
      <c r="F17" s="239" t="s">
        <v>236</v>
      </c>
      <c r="G17" s="260">
        <f t="shared" si="1"/>
        <v>0</v>
      </c>
      <c r="H17" s="260">
        <f t="shared" si="2"/>
        <v>0</v>
      </c>
      <c r="I17" s="260">
        <f t="shared" si="3"/>
        <v>0</v>
      </c>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2"/>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row>
    <row r="18" spans="1:105" s="246" customFormat="1" ht="14.4" customHeight="1" outlineLevel="1" x14ac:dyDescent="0.2">
      <c r="A18" s="245">
        <f t="shared" si="0"/>
        <v>0</v>
      </c>
      <c r="B18" s="332" t="s">
        <v>212</v>
      </c>
      <c r="C18" s="281" t="s">
        <v>82</v>
      </c>
      <c r="D18" s="281"/>
      <c r="E18" s="281" t="s">
        <v>82</v>
      </c>
      <c r="F18" s="230" t="s">
        <v>228</v>
      </c>
      <c r="G18" s="240">
        <f t="shared" si="1"/>
        <v>0</v>
      </c>
      <c r="H18" s="240">
        <f t="shared" si="2"/>
        <v>0</v>
      </c>
      <c r="I18" s="240">
        <f t="shared" si="3"/>
        <v>0</v>
      </c>
      <c r="J18" s="198">
        <v>0</v>
      </c>
      <c r="K18" s="198">
        <v>0</v>
      </c>
      <c r="L18" s="198">
        <v>0</v>
      </c>
      <c r="M18" s="198">
        <v>0</v>
      </c>
      <c r="N18" s="198">
        <v>0</v>
      </c>
      <c r="O18" s="198">
        <v>0</v>
      </c>
      <c r="P18" s="198">
        <v>0</v>
      </c>
      <c r="Q18" s="198">
        <v>0</v>
      </c>
      <c r="R18" s="198">
        <v>0</v>
      </c>
      <c r="S18" s="198">
        <v>0</v>
      </c>
      <c r="T18" s="198">
        <v>0</v>
      </c>
      <c r="U18" s="198">
        <v>0</v>
      </c>
      <c r="V18" s="198">
        <v>0</v>
      </c>
      <c r="W18" s="198">
        <v>0</v>
      </c>
      <c r="X18" s="198">
        <v>0</v>
      </c>
      <c r="Y18" s="198">
        <v>0</v>
      </c>
      <c r="Z18" s="198">
        <v>0</v>
      </c>
      <c r="AA18" s="198">
        <v>0</v>
      </c>
      <c r="AB18" s="198">
        <v>0</v>
      </c>
      <c r="AC18" s="198">
        <v>0</v>
      </c>
      <c r="AD18" s="198">
        <v>0</v>
      </c>
      <c r="AE18" s="198">
        <v>0</v>
      </c>
      <c r="AF18" s="198">
        <v>0</v>
      </c>
      <c r="AG18" s="198">
        <v>0</v>
      </c>
      <c r="AH18" s="198">
        <v>0</v>
      </c>
      <c r="AI18" s="198">
        <v>0</v>
      </c>
      <c r="AJ18" s="198">
        <v>0</v>
      </c>
      <c r="AK18" s="198">
        <v>0</v>
      </c>
      <c r="AL18" s="198">
        <v>0</v>
      </c>
      <c r="AM18" s="198">
        <v>0</v>
      </c>
      <c r="AN18" s="198">
        <v>0</v>
      </c>
      <c r="AO18" s="198">
        <v>0</v>
      </c>
      <c r="AP18" s="198">
        <v>0</v>
      </c>
      <c r="AQ18" s="198">
        <v>0</v>
      </c>
      <c r="AR18" s="198">
        <v>0</v>
      </c>
      <c r="AS18" s="198">
        <v>0</v>
      </c>
      <c r="AT18" s="198">
        <v>0</v>
      </c>
      <c r="AU18" s="198">
        <v>0</v>
      </c>
      <c r="AV18" s="198">
        <v>0</v>
      </c>
      <c r="AW18" s="198">
        <v>0</v>
      </c>
      <c r="AX18" s="198">
        <v>0</v>
      </c>
      <c r="AY18" s="198">
        <v>0</v>
      </c>
      <c r="AZ18" s="198">
        <v>0</v>
      </c>
      <c r="BA18" s="198">
        <v>0</v>
      </c>
      <c r="BB18" s="198">
        <v>0</v>
      </c>
      <c r="BC18" s="198">
        <v>0</v>
      </c>
      <c r="BD18" s="198">
        <v>0</v>
      </c>
      <c r="BE18" s="201">
        <v>0</v>
      </c>
      <c r="BF18" s="198"/>
      <c r="BG18" s="198"/>
      <c r="BH18" s="198"/>
      <c r="BI18" s="198"/>
      <c r="BJ18" s="198"/>
      <c r="BK18" s="198"/>
      <c r="BL18" s="198"/>
      <c r="BM18" s="198"/>
      <c r="BN18" s="198"/>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198"/>
      <c r="CZ18" s="198"/>
      <c r="DA18" s="198"/>
    </row>
    <row r="19" spans="1:105" s="244" customFormat="1" ht="14.4" customHeight="1" outlineLevel="1" x14ac:dyDescent="0.2">
      <c r="A19" s="247">
        <f t="shared" ref="A19:A28" si="4">MAX(J19:XFD19)</f>
        <v>0</v>
      </c>
      <c r="B19" s="333"/>
      <c r="C19" s="282" t="s">
        <v>210</v>
      </c>
      <c r="D19" s="282"/>
      <c r="E19" s="282" t="s">
        <v>210</v>
      </c>
      <c r="F19" s="231" t="s">
        <v>237</v>
      </c>
      <c r="G19" s="234">
        <f t="shared" si="1"/>
        <v>0</v>
      </c>
      <c r="H19" s="234">
        <f t="shared" si="2"/>
        <v>0</v>
      </c>
      <c r="I19" s="234">
        <f t="shared" si="3"/>
        <v>0</v>
      </c>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2"/>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row>
    <row r="20" spans="1:105" s="244" customFormat="1" ht="14.4" customHeight="1" outlineLevel="1" x14ac:dyDescent="0.2">
      <c r="A20" s="247">
        <f t="shared" si="4"/>
        <v>0</v>
      </c>
      <c r="B20" s="333"/>
      <c r="C20" s="282" t="s">
        <v>87</v>
      </c>
      <c r="D20" s="282"/>
      <c r="E20" s="282" t="s">
        <v>87</v>
      </c>
      <c r="F20" s="231" t="s">
        <v>238</v>
      </c>
      <c r="G20" s="234">
        <f t="shared" si="1"/>
        <v>0</v>
      </c>
      <c r="H20" s="234">
        <f t="shared" si="2"/>
        <v>0</v>
      </c>
      <c r="I20" s="234">
        <f t="shared" si="3"/>
        <v>0</v>
      </c>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2"/>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50"/>
      <c r="CV20" s="150"/>
      <c r="CW20" s="150"/>
      <c r="CX20" s="150"/>
      <c r="CY20" s="150"/>
      <c r="CZ20" s="150"/>
      <c r="DA20" s="150"/>
    </row>
    <row r="21" spans="1:105" s="244" customFormat="1" ht="14.4" customHeight="1" outlineLevel="1" x14ac:dyDescent="0.2">
      <c r="A21" s="247">
        <f t="shared" si="4"/>
        <v>0</v>
      </c>
      <c r="B21" s="333"/>
      <c r="C21" s="282" t="s">
        <v>206</v>
      </c>
      <c r="D21" s="282"/>
      <c r="E21" s="282" t="s">
        <v>206</v>
      </c>
      <c r="F21" s="231" t="s">
        <v>239</v>
      </c>
      <c r="G21" s="234">
        <f t="shared" si="1"/>
        <v>0</v>
      </c>
      <c r="H21" s="234">
        <f t="shared" si="2"/>
        <v>0</v>
      </c>
      <c r="I21" s="234">
        <f t="shared" si="3"/>
        <v>0</v>
      </c>
      <c r="J21" s="150">
        <v>0</v>
      </c>
      <c r="K21" s="150">
        <v>0</v>
      </c>
      <c r="L21" s="150">
        <v>0</v>
      </c>
      <c r="M21" s="150">
        <v>0</v>
      </c>
      <c r="N21" s="150">
        <v>0</v>
      </c>
      <c r="O21" s="150">
        <v>0</v>
      </c>
      <c r="P21" s="150">
        <v>0</v>
      </c>
      <c r="Q21" s="150">
        <v>0</v>
      </c>
      <c r="R21" s="150">
        <v>0</v>
      </c>
      <c r="S21" s="150">
        <v>0</v>
      </c>
      <c r="T21" s="150">
        <v>0</v>
      </c>
      <c r="U21" s="150">
        <v>0</v>
      </c>
      <c r="V21" s="150">
        <v>0</v>
      </c>
      <c r="W21" s="150">
        <v>0</v>
      </c>
      <c r="X21" s="150">
        <v>0</v>
      </c>
      <c r="Y21" s="150">
        <v>0</v>
      </c>
      <c r="Z21" s="150">
        <v>0</v>
      </c>
      <c r="AA21" s="150">
        <v>0</v>
      </c>
      <c r="AB21" s="150">
        <v>0</v>
      </c>
      <c r="AC21" s="150">
        <v>0</v>
      </c>
      <c r="AD21" s="150">
        <v>0</v>
      </c>
      <c r="AE21" s="150">
        <v>0</v>
      </c>
      <c r="AF21" s="150">
        <v>0</v>
      </c>
      <c r="AG21" s="150">
        <v>0</v>
      </c>
      <c r="AH21" s="150">
        <v>0</v>
      </c>
      <c r="AI21" s="150">
        <v>0</v>
      </c>
      <c r="AJ21" s="150">
        <v>0</v>
      </c>
      <c r="AK21" s="150">
        <v>0</v>
      </c>
      <c r="AL21" s="150">
        <v>0</v>
      </c>
      <c r="AM21" s="150">
        <v>0</v>
      </c>
      <c r="AN21" s="150">
        <v>0</v>
      </c>
      <c r="AO21" s="150">
        <v>0</v>
      </c>
      <c r="AP21" s="150">
        <v>0</v>
      </c>
      <c r="AQ21" s="150">
        <v>0</v>
      </c>
      <c r="AR21" s="150">
        <v>0</v>
      </c>
      <c r="AS21" s="150">
        <v>0</v>
      </c>
      <c r="AT21" s="150">
        <v>0</v>
      </c>
      <c r="AU21" s="150">
        <v>0</v>
      </c>
      <c r="AV21" s="150">
        <v>0</v>
      </c>
      <c r="AW21" s="150">
        <v>0</v>
      </c>
      <c r="AX21" s="150">
        <v>0</v>
      </c>
      <c r="AY21" s="150">
        <v>0</v>
      </c>
      <c r="AZ21" s="150">
        <v>0</v>
      </c>
      <c r="BA21" s="150">
        <v>0</v>
      </c>
      <c r="BB21" s="150">
        <v>0</v>
      </c>
      <c r="BC21" s="150">
        <v>0</v>
      </c>
      <c r="BD21" s="150">
        <v>0</v>
      </c>
      <c r="BE21" s="152">
        <v>0</v>
      </c>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50"/>
      <c r="CV21" s="150"/>
      <c r="CW21" s="150"/>
      <c r="CX21" s="150"/>
      <c r="CY21" s="150"/>
      <c r="CZ21" s="150"/>
      <c r="DA21" s="150"/>
    </row>
    <row r="22" spans="1:105" s="244" customFormat="1" ht="14.4" customHeight="1" outlineLevel="1" x14ac:dyDescent="0.2">
      <c r="A22" s="247">
        <f t="shared" si="4"/>
        <v>0</v>
      </c>
      <c r="B22" s="333"/>
      <c r="C22" s="282" t="s">
        <v>88</v>
      </c>
      <c r="D22" s="282"/>
      <c r="E22" s="282" t="s">
        <v>88</v>
      </c>
      <c r="F22" s="231" t="s">
        <v>240</v>
      </c>
      <c r="G22" s="234">
        <f t="shared" si="1"/>
        <v>0</v>
      </c>
      <c r="H22" s="234">
        <f t="shared" si="2"/>
        <v>0</v>
      </c>
      <c r="I22" s="234">
        <f t="shared" si="3"/>
        <v>0</v>
      </c>
      <c r="J22" s="150">
        <v>0</v>
      </c>
      <c r="K22" s="150">
        <v>0</v>
      </c>
      <c r="L22" s="150">
        <v>0</v>
      </c>
      <c r="M22" s="150">
        <v>0</v>
      </c>
      <c r="N22" s="150">
        <v>0</v>
      </c>
      <c r="O22" s="150">
        <v>0</v>
      </c>
      <c r="P22" s="150">
        <v>0</v>
      </c>
      <c r="Q22" s="150">
        <v>0</v>
      </c>
      <c r="R22" s="150">
        <v>0</v>
      </c>
      <c r="S22" s="150">
        <v>0</v>
      </c>
      <c r="T22" s="150">
        <v>0</v>
      </c>
      <c r="U22" s="150">
        <v>0</v>
      </c>
      <c r="V22" s="150">
        <v>0</v>
      </c>
      <c r="W22" s="150">
        <v>0</v>
      </c>
      <c r="X22" s="150">
        <v>0</v>
      </c>
      <c r="Y22" s="150">
        <v>0</v>
      </c>
      <c r="Z22" s="150">
        <v>0</v>
      </c>
      <c r="AA22" s="150">
        <v>0</v>
      </c>
      <c r="AB22" s="150">
        <v>0</v>
      </c>
      <c r="AC22" s="150">
        <v>0</v>
      </c>
      <c r="AD22" s="150">
        <v>0</v>
      </c>
      <c r="AE22" s="150">
        <v>0</v>
      </c>
      <c r="AF22" s="150">
        <v>0</v>
      </c>
      <c r="AG22" s="150">
        <v>0</v>
      </c>
      <c r="AH22" s="150">
        <v>0</v>
      </c>
      <c r="AI22" s="150">
        <v>0</v>
      </c>
      <c r="AJ22" s="150">
        <v>0</v>
      </c>
      <c r="AK22" s="150">
        <v>0</v>
      </c>
      <c r="AL22" s="150">
        <v>0</v>
      </c>
      <c r="AM22" s="150">
        <v>0</v>
      </c>
      <c r="AN22" s="150">
        <v>0</v>
      </c>
      <c r="AO22" s="150">
        <v>0</v>
      </c>
      <c r="AP22" s="150">
        <v>0</v>
      </c>
      <c r="AQ22" s="150">
        <v>0</v>
      </c>
      <c r="AR22" s="150">
        <v>0</v>
      </c>
      <c r="AS22" s="150">
        <v>0</v>
      </c>
      <c r="AT22" s="150">
        <v>0</v>
      </c>
      <c r="AU22" s="150">
        <v>0</v>
      </c>
      <c r="AV22" s="150">
        <v>0</v>
      </c>
      <c r="AW22" s="150">
        <v>0</v>
      </c>
      <c r="AX22" s="150">
        <v>0</v>
      </c>
      <c r="AY22" s="150">
        <v>0</v>
      </c>
      <c r="AZ22" s="150">
        <v>0</v>
      </c>
      <c r="BA22" s="150">
        <v>0</v>
      </c>
      <c r="BB22" s="150">
        <v>0</v>
      </c>
      <c r="BC22" s="150">
        <v>0</v>
      </c>
      <c r="BD22" s="150">
        <v>0</v>
      </c>
      <c r="BE22" s="152">
        <v>0</v>
      </c>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row>
    <row r="23" spans="1:105" s="244" customFormat="1" ht="14.4" customHeight="1" outlineLevel="1" x14ac:dyDescent="0.2">
      <c r="A23" s="247">
        <f t="shared" si="4"/>
        <v>0</v>
      </c>
      <c r="B23" s="333"/>
      <c r="C23" s="282" t="s">
        <v>207</v>
      </c>
      <c r="D23" s="282"/>
      <c r="E23" s="282" t="s">
        <v>207</v>
      </c>
      <c r="F23" s="231" t="s">
        <v>241</v>
      </c>
      <c r="G23" s="234">
        <f t="shared" si="1"/>
        <v>0</v>
      </c>
      <c r="H23" s="234">
        <f t="shared" si="2"/>
        <v>0</v>
      </c>
      <c r="I23" s="234">
        <f t="shared" si="3"/>
        <v>0</v>
      </c>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2"/>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row>
    <row r="24" spans="1:105" s="244" customFormat="1" ht="14.4" customHeight="1" outlineLevel="1" x14ac:dyDescent="0.2">
      <c r="A24" s="247">
        <f t="shared" si="4"/>
        <v>0</v>
      </c>
      <c r="B24" s="333"/>
      <c r="C24" s="282" t="s">
        <v>243</v>
      </c>
      <c r="D24" s="282"/>
      <c r="E24" s="282" t="s">
        <v>209</v>
      </c>
      <c r="F24" s="231" t="s">
        <v>242</v>
      </c>
      <c r="G24" s="234">
        <f t="shared" si="1"/>
        <v>0</v>
      </c>
      <c r="H24" s="234">
        <f t="shared" si="2"/>
        <v>0</v>
      </c>
      <c r="I24" s="234">
        <f t="shared" si="3"/>
        <v>0</v>
      </c>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153"/>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row>
    <row r="25" spans="1:105" s="248" customFormat="1" ht="15" customHeight="1" outlineLevel="1" thickBot="1" x14ac:dyDescent="0.25">
      <c r="A25" s="247">
        <f t="shared" si="4"/>
        <v>0</v>
      </c>
      <c r="B25" s="334"/>
      <c r="C25" s="335" t="s">
        <v>208</v>
      </c>
      <c r="D25" s="335"/>
      <c r="E25" s="335" t="s">
        <v>208</v>
      </c>
      <c r="F25" s="233" t="s">
        <v>244</v>
      </c>
      <c r="G25" s="241">
        <f t="shared" si="1"/>
        <v>0</v>
      </c>
      <c r="H25" s="241">
        <f t="shared" si="2"/>
        <v>0</v>
      </c>
      <c r="I25" s="241">
        <f t="shared" si="3"/>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0</v>
      </c>
      <c r="AP25" s="199">
        <v>0</v>
      </c>
      <c r="AQ25" s="199">
        <v>0</v>
      </c>
      <c r="AR25" s="199">
        <v>0</v>
      </c>
      <c r="AS25" s="199">
        <v>0</v>
      </c>
      <c r="AT25" s="199">
        <v>0</v>
      </c>
      <c r="AU25" s="199">
        <v>0</v>
      </c>
      <c r="AV25" s="199">
        <v>0</v>
      </c>
      <c r="AW25" s="199">
        <v>0</v>
      </c>
      <c r="AX25" s="199">
        <v>0</v>
      </c>
      <c r="AY25" s="199">
        <v>0</v>
      </c>
      <c r="AZ25" s="199">
        <v>0</v>
      </c>
      <c r="BA25" s="199">
        <v>0</v>
      </c>
      <c r="BB25" s="199">
        <v>0</v>
      </c>
      <c r="BC25" s="199">
        <v>0</v>
      </c>
      <c r="BD25" s="199">
        <v>0</v>
      </c>
      <c r="BE25" s="200">
        <v>0</v>
      </c>
      <c r="BF25" s="199"/>
      <c r="BG25" s="199"/>
      <c r="BH25" s="199"/>
      <c r="BI25" s="199"/>
      <c r="BJ25" s="199"/>
      <c r="BK25" s="199"/>
      <c r="BL25" s="199"/>
      <c r="BM25" s="199"/>
      <c r="BN25" s="199"/>
      <c r="BO25" s="199"/>
      <c r="BP25" s="199"/>
      <c r="BQ25" s="199"/>
      <c r="BR25" s="199"/>
      <c r="BS25" s="199"/>
      <c r="BT25" s="199"/>
      <c r="BU25" s="199"/>
      <c r="BV25" s="199"/>
      <c r="BW25" s="199"/>
      <c r="BX25" s="199"/>
      <c r="BY25" s="199"/>
      <c r="BZ25" s="199"/>
      <c r="CA25" s="199"/>
      <c r="CB25" s="199"/>
      <c r="CC25" s="199"/>
      <c r="CD25" s="199"/>
      <c r="CE25" s="199"/>
      <c r="CF25" s="199"/>
      <c r="CG25" s="199"/>
      <c r="CH25" s="199"/>
      <c r="CI25" s="199"/>
      <c r="CJ25" s="199"/>
      <c r="CK25" s="199"/>
      <c r="CL25" s="199"/>
      <c r="CM25" s="199"/>
      <c r="CN25" s="199"/>
      <c r="CO25" s="199"/>
      <c r="CP25" s="199"/>
      <c r="CQ25" s="199"/>
      <c r="CR25" s="199"/>
      <c r="CS25" s="199"/>
      <c r="CT25" s="199"/>
      <c r="CU25" s="199"/>
      <c r="CV25" s="199"/>
      <c r="CW25" s="199"/>
      <c r="CX25" s="199"/>
      <c r="CY25" s="199"/>
      <c r="CZ25" s="199"/>
      <c r="DA25" s="199"/>
    </row>
    <row r="26" spans="1:105" s="244" customFormat="1" ht="14.4" customHeight="1" outlineLevel="1" x14ac:dyDescent="0.2">
      <c r="A26" s="247">
        <f t="shared" si="4"/>
        <v>0</v>
      </c>
      <c r="B26" s="332" t="s">
        <v>211</v>
      </c>
      <c r="C26" s="281" t="s">
        <v>82</v>
      </c>
      <c r="D26" s="281"/>
      <c r="E26" s="281" t="s">
        <v>82</v>
      </c>
      <c r="F26" s="236" t="s">
        <v>228</v>
      </c>
      <c r="G26" s="237">
        <f t="shared" si="1"/>
        <v>0</v>
      </c>
      <c r="H26" s="237">
        <f t="shared" si="2"/>
        <v>0</v>
      </c>
      <c r="I26" s="237">
        <f t="shared" si="3"/>
        <v>0</v>
      </c>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1"/>
      <c r="BD26" s="261"/>
      <c r="BE26" s="153"/>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row>
    <row r="27" spans="1:105" s="244" customFormat="1" ht="14.4" customHeight="1" outlineLevel="1" x14ac:dyDescent="0.2">
      <c r="A27" s="247">
        <f t="shared" si="4"/>
        <v>0</v>
      </c>
      <c r="B27" s="333"/>
      <c r="C27" s="282" t="s">
        <v>83</v>
      </c>
      <c r="D27" s="282"/>
      <c r="E27" s="282" t="s">
        <v>83</v>
      </c>
      <c r="F27" s="238" t="s">
        <v>245</v>
      </c>
      <c r="G27" s="260">
        <f t="shared" si="1"/>
        <v>0</v>
      </c>
      <c r="H27" s="260">
        <f t="shared" si="2"/>
        <v>0</v>
      </c>
      <c r="I27" s="260">
        <f t="shared" si="3"/>
        <v>0</v>
      </c>
      <c r="J27" s="150">
        <v>0</v>
      </c>
      <c r="K27" s="150">
        <v>0</v>
      </c>
      <c r="L27" s="150">
        <v>0</v>
      </c>
      <c r="M27" s="150">
        <v>0</v>
      </c>
      <c r="N27" s="150">
        <v>0</v>
      </c>
      <c r="O27" s="150">
        <v>0</v>
      </c>
      <c r="P27" s="150">
        <v>0</v>
      </c>
      <c r="Q27" s="150">
        <v>0</v>
      </c>
      <c r="R27" s="150">
        <v>0</v>
      </c>
      <c r="S27" s="150">
        <v>0</v>
      </c>
      <c r="T27" s="150">
        <v>0</v>
      </c>
      <c r="U27" s="150">
        <v>0</v>
      </c>
      <c r="V27" s="150">
        <v>0</v>
      </c>
      <c r="W27" s="150">
        <v>0</v>
      </c>
      <c r="X27" s="150">
        <v>0</v>
      </c>
      <c r="Y27" s="150">
        <v>0</v>
      </c>
      <c r="Z27" s="150">
        <v>0</v>
      </c>
      <c r="AA27" s="150">
        <v>0</v>
      </c>
      <c r="AB27" s="150">
        <v>0</v>
      </c>
      <c r="AC27" s="150">
        <v>0</v>
      </c>
      <c r="AD27" s="150">
        <v>0</v>
      </c>
      <c r="AE27" s="150">
        <v>0</v>
      </c>
      <c r="AF27" s="150">
        <v>0</v>
      </c>
      <c r="AG27" s="150">
        <v>0</v>
      </c>
      <c r="AH27" s="150">
        <v>0</v>
      </c>
      <c r="AI27" s="150">
        <v>0</v>
      </c>
      <c r="AJ27" s="150">
        <v>0</v>
      </c>
      <c r="AK27" s="150">
        <v>0</v>
      </c>
      <c r="AL27" s="150">
        <v>0</v>
      </c>
      <c r="AM27" s="150">
        <v>0</v>
      </c>
      <c r="AN27" s="150">
        <v>0</v>
      </c>
      <c r="AO27" s="150">
        <v>0</v>
      </c>
      <c r="AP27" s="150">
        <v>0</v>
      </c>
      <c r="AQ27" s="150">
        <v>0</v>
      </c>
      <c r="AR27" s="150">
        <v>0</v>
      </c>
      <c r="AS27" s="150">
        <v>0</v>
      </c>
      <c r="AT27" s="150">
        <v>0</v>
      </c>
      <c r="AU27" s="150">
        <v>0</v>
      </c>
      <c r="AV27" s="150">
        <v>0</v>
      </c>
      <c r="AW27" s="150">
        <v>0</v>
      </c>
      <c r="AX27" s="150">
        <v>0</v>
      </c>
      <c r="AY27" s="150">
        <v>0</v>
      </c>
      <c r="AZ27" s="150">
        <v>0</v>
      </c>
      <c r="BA27" s="150">
        <v>0</v>
      </c>
      <c r="BB27" s="150">
        <v>0</v>
      </c>
      <c r="BC27" s="150">
        <v>0</v>
      </c>
      <c r="BD27" s="150">
        <v>0</v>
      </c>
      <c r="BE27" s="152">
        <v>0</v>
      </c>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row>
    <row r="28" spans="1:105" s="244" customFormat="1" ht="15" customHeight="1" outlineLevel="1" thickBot="1" x14ac:dyDescent="0.25">
      <c r="A28" s="249">
        <f t="shared" si="4"/>
        <v>0</v>
      </c>
      <c r="B28" s="334"/>
      <c r="C28" s="335" t="s">
        <v>79</v>
      </c>
      <c r="D28" s="335"/>
      <c r="E28" s="335" t="s">
        <v>79</v>
      </c>
      <c r="F28" s="242" t="s">
        <v>246</v>
      </c>
      <c r="G28" s="243">
        <f t="shared" si="1"/>
        <v>0</v>
      </c>
      <c r="H28" s="243">
        <f t="shared" si="2"/>
        <v>0</v>
      </c>
      <c r="I28" s="243">
        <f t="shared" si="3"/>
        <v>0</v>
      </c>
      <c r="J28" s="261"/>
      <c r="K28" s="261"/>
      <c r="L28" s="261"/>
      <c r="M28" s="261"/>
      <c r="N28" s="261"/>
      <c r="O28" s="261"/>
      <c r="P28" s="261"/>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153"/>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row>
    <row r="29" spans="1:105" s="147" customFormat="1" ht="14.4" customHeight="1" x14ac:dyDescent="0.3">
      <c r="A29" s="262"/>
      <c r="B29" s="262"/>
      <c r="C29" s="345" t="s">
        <v>326</v>
      </c>
      <c r="D29" s="346"/>
      <c r="E29" s="346"/>
      <c r="F29" s="346"/>
      <c r="G29" s="346"/>
      <c r="H29" s="347"/>
      <c r="I29" s="347"/>
      <c r="J29" s="347"/>
      <c r="K29" s="347"/>
      <c r="L29" s="347"/>
      <c r="M29" s="347"/>
      <c r="N29" s="347"/>
      <c r="O29" s="347"/>
      <c r="P29" s="347"/>
      <c r="Q29" s="347"/>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c r="CY29" s="208"/>
      <c r="CZ29" s="208"/>
      <c r="DA29" s="208"/>
    </row>
    <row r="30" spans="1:105" s="147" customFormat="1" ht="15" thickBot="1" x14ac:dyDescent="0.35">
      <c r="A30" s="1"/>
      <c r="B30" s="1"/>
      <c r="C30" s="349"/>
      <c r="D30" s="349"/>
      <c r="E30" s="349"/>
      <c r="F30" s="349"/>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50"/>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c r="CY30" s="208"/>
      <c r="CZ30" s="208"/>
      <c r="DA30" s="208"/>
    </row>
    <row r="31" spans="1:105" ht="16.2" customHeight="1" x14ac:dyDescent="0.3">
      <c r="A31" s="369" t="s">
        <v>133</v>
      </c>
      <c r="B31" s="370"/>
      <c r="C31" s="357" t="s">
        <v>214</v>
      </c>
      <c r="D31" s="363" t="s">
        <v>248</v>
      </c>
      <c r="E31" s="364"/>
      <c r="F31" s="365"/>
      <c r="G31" s="359" t="s">
        <v>348</v>
      </c>
      <c r="H31" s="359" t="s">
        <v>349</v>
      </c>
      <c r="I31" s="285" t="s">
        <v>247</v>
      </c>
      <c r="J31" s="34"/>
      <c r="K31" s="34"/>
      <c r="L31" s="34"/>
      <c r="M31" s="35"/>
      <c r="N31" s="35"/>
      <c r="O31" s="35"/>
      <c r="P31" s="35"/>
      <c r="Q31" s="35"/>
      <c r="R31" s="35"/>
      <c r="S31" s="35"/>
      <c r="T31" s="35"/>
      <c r="U31" s="35"/>
      <c r="V31" s="35"/>
      <c r="W31" s="35"/>
      <c r="X31" s="35"/>
      <c r="Y31" s="35"/>
      <c r="Z31" s="35"/>
      <c r="AA31" s="35"/>
      <c r="AB31" s="35"/>
      <c r="AC31" s="35"/>
      <c r="AD31" s="35"/>
      <c r="AE31" s="35"/>
      <c r="AF31" s="35"/>
      <c r="AG31" s="35" t="s">
        <v>173</v>
      </c>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151"/>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t="s">
        <v>174</v>
      </c>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6"/>
    </row>
    <row r="32" spans="1:105" x14ac:dyDescent="0.3">
      <c r="A32" s="369"/>
      <c r="B32" s="344"/>
      <c r="C32" s="358"/>
      <c r="D32" s="366"/>
      <c r="E32" s="367"/>
      <c r="F32" s="368"/>
      <c r="G32" s="360"/>
      <c r="H32" s="360"/>
      <c r="I32" s="286"/>
      <c r="J32" s="276" t="s">
        <v>176</v>
      </c>
      <c r="K32" s="276"/>
      <c r="L32" s="276"/>
      <c r="M32" s="276"/>
      <c r="N32" s="275" t="s">
        <v>177</v>
      </c>
      <c r="O32" s="276"/>
      <c r="P32" s="276"/>
      <c r="Q32" s="276"/>
      <c r="R32" s="275" t="s">
        <v>178</v>
      </c>
      <c r="S32" s="276"/>
      <c r="T32" s="276"/>
      <c r="U32" s="277"/>
      <c r="V32" s="275" t="s">
        <v>179</v>
      </c>
      <c r="W32" s="276"/>
      <c r="X32" s="276"/>
      <c r="Y32" s="276"/>
      <c r="Z32" s="275" t="s">
        <v>180</v>
      </c>
      <c r="AA32" s="276"/>
      <c r="AB32" s="276"/>
      <c r="AC32" s="276"/>
      <c r="AD32" s="275" t="s">
        <v>181</v>
      </c>
      <c r="AE32" s="276"/>
      <c r="AF32" s="276"/>
      <c r="AG32" s="276"/>
      <c r="AH32" s="275" t="s">
        <v>182</v>
      </c>
      <c r="AI32" s="276"/>
      <c r="AJ32" s="276"/>
      <c r="AK32" s="276"/>
      <c r="AL32" s="275" t="s">
        <v>183</v>
      </c>
      <c r="AM32" s="276"/>
      <c r="AN32" s="276"/>
      <c r="AO32" s="276"/>
      <c r="AP32" s="275" t="s">
        <v>184</v>
      </c>
      <c r="AQ32" s="276"/>
      <c r="AR32" s="276"/>
      <c r="AS32" s="276"/>
      <c r="AT32" s="275" t="s">
        <v>185</v>
      </c>
      <c r="AU32" s="276"/>
      <c r="AV32" s="276"/>
      <c r="AW32" s="276"/>
      <c r="AX32" s="275" t="s">
        <v>186</v>
      </c>
      <c r="AY32" s="276"/>
      <c r="AZ32" s="276"/>
      <c r="BA32" s="276"/>
      <c r="BB32" s="275" t="s">
        <v>187</v>
      </c>
      <c r="BC32" s="276"/>
      <c r="BD32" s="276"/>
      <c r="BE32" s="277"/>
      <c r="BF32" s="276" t="s">
        <v>188</v>
      </c>
      <c r="BG32" s="276"/>
      <c r="BH32" s="276"/>
      <c r="BI32" s="276"/>
      <c r="BJ32" s="275" t="s">
        <v>189</v>
      </c>
      <c r="BK32" s="276"/>
      <c r="BL32" s="276"/>
      <c r="BM32" s="276"/>
      <c r="BN32" s="275" t="s">
        <v>190</v>
      </c>
      <c r="BO32" s="276"/>
      <c r="BP32" s="276"/>
      <c r="BQ32" s="276"/>
      <c r="BR32" s="275" t="s">
        <v>191</v>
      </c>
      <c r="BS32" s="276"/>
      <c r="BT32" s="276"/>
      <c r="BU32" s="276"/>
      <c r="BV32" s="275" t="s">
        <v>192</v>
      </c>
      <c r="BW32" s="276"/>
      <c r="BX32" s="276"/>
      <c r="BY32" s="276"/>
      <c r="BZ32" s="275" t="s">
        <v>193</v>
      </c>
      <c r="CA32" s="276"/>
      <c r="CB32" s="276"/>
      <c r="CC32" s="276"/>
      <c r="CD32" s="275" t="s">
        <v>194</v>
      </c>
      <c r="CE32" s="276"/>
      <c r="CF32" s="276"/>
      <c r="CG32" s="276"/>
      <c r="CH32" s="275" t="s">
        <v>195</v>
      </c>
      <c r="CI32" s="276"/>
      <c r="CJ32" s="276"/>
      <c r="CK32" s="276"/>
      <c r="CL32" s="275" t="s">
        <v>196</v>
      </c>
      <c r="CM32" s="276"/>
      <c r="CN32" s="276"/>
      <c r="CO32" s="276"/>
      <c r="CP32" s="275" t="s">
        <v>197</v>
      </c>
      <c r="CQ32" s="276"/>
      <c r="CR32" s="276"/>
      <c r="CS32" s="276"/>
      <c r="CT32" s="275" t="s">
        <v>198</v>
      </c>
      <c r="CU32" s="276"/>
      <c r="CV32" s="276"/>
      <c r="CW32" s="276"/>
      <c r="CX32" s="275" t="s">
        <v>199</v>
      </c>
      <c r="CY32" s="276"/>
      <c r="CZ32" s="276"/>
      <c r="DA32" s="337"/>
    </row>
    <row r="33" spans="1:105" ht="15" thickBot="1" x14ac:dyDescent="0.35">
      <c r="A33" s="369"/>
      <c r="B33" s="344"/>
      <c r="C33" s="358"/>
      <c r="D33" s="366"/>
      <c r="E33" s="367"/>
      <c r="F33" s="368"/>
      <c r="G33" s="360"/>
      <c r="H33" s="360"/>
      <c r="I33" s="286"/>
      <c r="J33" s="40">
        <v>1</v>
      </c>
      <c r="K33" s="38">
        <v>2</v>
      </c>
      <c r="L33" s="38">
        <v>3</v>
      </c>
      <c r="M33" s="38">
        <v>4</v>
      </c>
      <c r="N33" s="38">
        <v>5</v>
      </c>
      <c r="O33" s="38">
        <v>6</v>
      </c>
      <c r="P33" s="38">
        <v>7</v>
      </c>
      <c r="Q33" s="38">
        <v>8</v>
      </c>
      <c r="R33" s="38">
        <v>9</v>
      </c>
      <c r="S33" s="38">
        <v>10</v>
      </c>
      <c r="T33" s="38">
        <v>11</v>
      </c>
      <c r="U33" s="38">
        <v>12</v>
      </c>
      <c r="V33" s="38">
        <v>13</v>
      </c>
      <c r="W33" s="38">
        <v>14</v>
      </c>
      <c r="X33" s="38">
        <v>15</v>
      </c>
      <c r="Y33" s="38">
        <v>16</v>
      </c>
      <c r="Z33" s="38">
        <v>17</v>
      </c>
      <c r="AA33" s="38">
        <v>18</v>
      </c>
      <c r="AB33" s="38">
        <v>19</v>
      </c>
      <c r="AC33" s="38">
        <v>20</v>
      </c>
      <c r="AD33" s="38">
        <v>21</v>
      </c>
      <c r="AE33" s="38">
        <v>22</v>
      </c>
      <c r="AF33" s="38">
        <v>23</v>
      </c>
      <c r="AG33" s="38">
        <v>24</v>
      </c>
      <c r="AH33" s="38">
        <v>25</v>
      </c>
      <c r="AI33" s="38">
        <v>26</v>
      </c>
      <c r="AJ33" s="38">
        <v>27</v>
      </c>
      <c r="AK33" s="38">
        <v>28</v>
      </c>
      <c r="AL33" s="38">
        <v>29</v>
      </c>
      <c r="AM33" s="38">
        <v>30</v>
      </c>
      <c r="AN33" s="38">
        <v>31</v>
      </c>
      <c r="AO33" s="38">
        <v>32</v>
      </c>
      <c r="AP33" s="38">
        <v>33</v>
      </c>
      <c r="AQ33" s="38">
        <v>34</v>
      </c>
      <c r="AR33" s="38">
        <v>35</v>
      </c>
      <c r="AS33" s="38">
        <v>36</v>
      </c>
      <c r="AT33" s="38">
        <v>37</v>
      </c>
      <c r="AU33" s="38">
        <v>38</v>
      </c>
      <c r="AV33" s="38">
        <v>39</v>
      </c>
      <c r="AW33" s="38">
        <v>40</v>
      </c>
      <c r="AX33" s="38">
        <v>41</v>
      </c>
      <c r="AY33" s="38">
        <v>42</v>
      </c>
      <c r="AZ33" s="38">
        <v>43</v>
      </c>
      <c r="BA33" s="38">
        <v>44</v>
      </c>
      <c r="BB33" s="38">
        <v>45</v>
      </c>
      <c r="BC33" s="38">
        <v>46</v>
      </c>
      <c r="BD33" s="38">
        <v>47</v>
      </c>
      <c r="BE33" s="38">
        <v>48</v>
      </c>
      <c r="BF33" s="40">
        <v>49</v>
      </c>
      <c r="BG33" s="38">
        <v>50</v>
      </c>
      <c r="BH33" s="38">
        <v>51</v>
      </c>
      <c r="BI33" s="38">
        <v>52</v>
      </c>
      <c r="BJ33" s="38">
        <v>53</v>
      </c>
      <c r="BK33" s="38">
        <v>54</v>
      </c>
      <c r="BL33" s="38">
        <v>55</v>
      </c>
      <c r="BM33" s="38">
        <v>56</v>
      </c>
      <c r="BN33" s="38">
        <v>57</v>
      </c>
      <c r="BO33" s="38">
        <v>58</v>
      </c>
      <c r="BP33" s="38">
        <v>59</v>
      </c>
      <c r="BQ33" s="38">
        <v>60</v>
      </c>
      <c r="BR33" s="38">
        <v>61</v>
      </c>
      <c r="BS33" s="38">
        <v>62</v>
      </c>
      <c r="BT33" s="38">
        <v>63</v>
      </c>
      <c r="BU33" s="38">
        <v>64</v>
      </c>
      <c r="BV33" s="38">
        <v>65</v>
      </c>
      <c r="BW33" s="38">
        <v>66</v>
      </c>
      <c r="BX33" s="38">
        <v>67</v>
      </c>
      <c r="BY33" s="38">
        <v>68</v>
      </c>
      <c r="BZ33" s="38">
        <v>69</v>
      </c>
      <c r="CA33" s="38">
        <v>70</v>
      </c>
      <c r="CB33" s="38">
        <v>71</v>
      </c>
      <c r="CC33" s="38">
        <v>72</v>
      </c>
      <c r="CD33" s="38">
        <v>73</v>
      </c>
      <c r="CE33" s="38">
        <v>74</v>
      </c>
      <c r="CF33" s="38">
        <v>75</v>
      </c>
      <c r="CG33" s="38">
        <v>76</v>
      </c>
      <c r="CH33" s="38">
        <v>77</v>
      </c>
      <c r="CI33" s="38">
        <v>78</v>
      </c>
      <c r="CJ33" s="38">
        <v>79</v>
      </c>
      <c r="CK33" s="38">
        <v>80</v>
      </c>
      <c r="CL33" s="38">
        <v>81</v>
      </c>
      <c r="CM33" s="38">
        <v>82</v>
      </c>
      <c r="CN33" s="38">
        <v>83</v>
      </c>
      <c r="CO33" s="38">
        <v>84</v>
      </c>
      <c r="CP33" s="38">
        <v>85</v>
      </c>
      <c r="CQ33" s="38">
        <v>86</v>
      </c>
      <c r="CR33" s="38">
        <v>87</v>
      </c>
      <c r="CS33" s="38">
        <v>88</v>
      </c>
      <c r="CT33" s="38">
        <v>89</v>
      </c>
      <c r="CU33" s="38">
        <v>90</v>
      </c>
      <c r="CV33" s="38">
        <v>91</v>
      </c>
      <c r="CW33" s="38">
        <v>92</v>
      </c>
      <c r="CX33" s="38">
        <v>93</v>
      </c>
      <c r="CY33" s="38">
        <v>94</v>
      </c>
      <c r="CZ33" s="38">
        <v>95</v>
      </c>
      <c r="DA33" s="39">
        <v>96</v>
      </c>
    </row>
    <row r="34" spans="1:105" ht="14.4" customHeight="1" x14ac:dyDescent="0.3">
      <c r="A34" s="32">
        <v>1</v>
      </c>
      <c r="B34" s="344"/>
      <c r="C34" s="351" t="s">
        <v>200</v>
      </c>
      <c r="D34" s="361" t="s">
        <v>216</v>
      </c>
      <c r="E34" s="362"/>
      <c r="F34" s="362"/>
      <c r="G34" s="250" t="s">
        <v>343</v>
      </c>
      <c r="H34" s="263">
        <v>0</v>
      </c>
      <c r="I34" s="251"/>
      <c r="J34" s="202" t="str">
        <f t="shared" ref="J34:S43" si="5">IFERROR(IF($H34+$I34=J$33,$A34,(IF((J$33&lt;$H34+$I34),(IF(J$33&gt;$H34,$A34,"")),""))),"")</f>
        <v/>
      </c>
      <c r="K34" s="202" t="str">
        <f t="shared" si="5"/>
        <v/>
      </c>
      <c r="L34" s="202" t="str">
        <f t="shared" si="5"/>
        <v/>
      </c>
      <c r="M34" s="202" t="str">
        <f t="shared" si="5"/>
        <v/>
      </c>
      <c r="N34" s="202" t="str">
        <f t="shared" si="5"/>
        <v/>
      </c>
      <c r="O34" s="202" t="str">
        <f t="shared" si="5"/>
        <v/>
      </c>
      <c r="P34" s="202" t="str">
        <f t="shared" si="5"/>
        <v/>
      </c>
      <c r="Q34" s="202" t="str">
        <f t="shared" si="5"/>
        <v/>
      </c>
      <c r="R34" s="202" t="str">
        <f t="shared" si="5"/>
        <v/>
      </c>
      <c r="S34" s="202" t="str">
        <f t="shared" si="5"/>
        <v/>
      </c>
      <c r="T34" s="202" t="str">
        <f t="shared" ref="T34:AC43" si="6">IFERROR(IF($H34+$I34=T$33,$A34,(IF((T$33&lt;$H34+$I34),(IF(T$33&gt;$H34,$A34,"")),""))),"")</f>
        <v/>
      </c>
      <c r="U34" s="202" t="str">
        <f t="shared" si="6"/>
        <v/>
      </c>
      <c r="V34" s="202" t="str">
        <f t="shared" si="6"/>
        <v/>
      </c>
      <c r="W34" s="202" t="str">
        <f t="shared" si="6"/>
        <v/>
      </c>
      <c r="X34" s="202" t="str">
        <f t="shared" si="6"/>
        <v/>
      </c>
      <c r="Y34" s="202" t="str">
        <f t="shared" si="6"/>
        <v/>
      </c>
      <c r="Z34" s="202" t="str">
        <f t="shared" si="6"/>
        <v/>
      </c>
      <c r="AA34" s="202" t="str">
        <f t="shared" si="6"/>
        <v/>
      </c>
      <c r="AB34" s="202" t="str">
        <f t="shared" si="6"/>
        <v/>
      </c>
      <c r="AC34" s="202" t="str">
        <f t="shared" si="6"/>
        <v/>
      </c>
      <c r="AD34" s="202" t="str">
        <f t="shared" ref="AD34:AM43" si="7">IFERROR(IF($H34+$I34=AD$33,$A34,(IF((AD$33&lt;$H34+$I34),(IF(AD$33&gt;$H34,$A34,"")),""))),"")</f>
        <v/>
      </c>
      <c r="AE34" s="202" t="str">
        <f t="shared" si="7"/>
        <v/>
      </c>
      <c r="AF34" s="202" t="str">
        <f t="shared" si="7"/>
        <v/>
      </c>
      <c r="AG34" s="202" t="str">
        <f t="shared" si="7"/>
        <v/>
      </c>
      <c r="AH34" s="202" t="str">
        <f t="shared" si="7"/>
        <v/>
      </c>
      <c r="AI34" s="202" t="str">
        <f t="shared" si="7"/>
        <v/>
      </c>
      <c r="AJ34" s="202" t="str">
        <f t="shared" si="7"/>
        <v/>
      </c>
      <c r="AK34" s="202" t="str">
        <f t="shared" si="7"/>
        <v/>
      </c>
      <c r="AL34" s="202" t="str">
        <f t="shared" si="7"/>
        <v/>
      </c>
      <c r="AM34" s="202" t="str">
        <f t="shared" si="7"/>
        <v/>
      </c>
      <c r="AN34" s="202" t="str">
        <f t="shared" ref="AN34:AW43" si="8">IFERROR(IF($H34+$I34=AN$33,$A34,(IF((AN$33&lt;$H34+$I34),(IF(AN$33&gt;$H34,$A34,"")),""))),"")</f>
        <v/>
      </c>
      <c r="AO34" s="202" t="str">
        <f t="shared" si="8"/>
        <v/>
      </c>
      <c r="AP34" s="202" t="str">
        <f t="shared" si="8"/>
        <v/>
      </c>
      <c r="AQ34" s="202" t="str">
        <f t="shared" si="8"/>
        <v/>
      </c>
      <c r="AR34" s="202" t="str">
        <f t="shared" si="8"/>
        <v/>
      </c>
      <c r="AS34" s="202" t="str">
        <f t="shared" si="8"/>
        <v/>
      </c>
      <c r="AT34" s="202" t="str">
        <f t="shared" si="8"/>
        <v/>
      </c>
      <c r="AU34" s="202" t="str">
        <f t="shared" si="8"/>
        <v/>
      </c>
      <c r="AV34" s="202" t="str">
        <f t="shared" si="8"/>
        <v/>
      </c>
      <c r="AW34" s="202" t="str">
        <f t="shared" si="8"/>
        <v/>
      </c>
      <c r="AX34" s="202" t="str">
        <f t="shared" ref="AX34:BG43" si="9">IFERROR(IF($H34+$I34=AX$33,$A34,(IF((AX$33&lt;$H34+$I34),(IF(AX$33&gt;$H34,$A34,"")),""))),"")</f>
        <v/>
      </c>
      <c r="AY34" s="202" t="str">
        <f t="shared" si="9"/>
        <v/>
      </c>
      <c r="AZ34" s="202" t="str">
        <f t="shared" si="9"/>
        <v/>
      </c>
      <c r="BA34" s="202" t="str">
        <f t="shared" si="9"/>
        <v/>
      </c>
      <c r="BB34" s="202" t="str">
        <f t="shared" si="9"/>
        <v/>
      </c>
      <c r="BC34" s="202" t="str">
        <f t="shared" si="9"/>
        <v/>
      </c>
      <c r="BD34" s="202" t="str">
        <f t="shared" si="9"/>
        <v/>
      </c>
      <c r="BE34" s="203" t="str">
        <f t="shared" si="9"/>
        <v/>
      </c>
      <c r="BF34" s="202" t="str">
        <f t="shared" si="9"/>
        <v/>
      </c>
      <c r="BG34" s="202" t="str">
        <f t="shared" si="9"/>
        <v/>
      </c>
      <c r="BH34" s="202" t="str">
        <f t="shared" ref="BH34:BQ43" si="10">IFERROR(IF($H34+$I34=BH$33,$A34,(IF((BH$33&lt;$H34+$I34),(IF(BH$33&gt;$H34,$A34,"")),""))),"")</f>
        <v/>
      </c>
      <c r="BI34" s="202" t="str">
        <f t="shared" si="10"/>
        <v/>
      </c>
      <c r="BJ34" s="202" t="str">
        <f t="shared" si="10"/>
        <v/>
      </c>
      <c r="BK34" s="202" t="str">
        <f t="shared" si="10"/>
        <v/>
      </c>
      <c r="BL34" s="202" t="str">
        <f t="shared" si="10"/>
        <v/>
      </c>
      <c r="BM34" s="202" t="str">
        <f t="shared" si="10"/>
        <v/>
      </c>
      <c r="BN34" s="202" t="str">
        <f t="shared" si="10"/>
        <v/>
      </c>
      <c r="BO34" s="202" t="str">
        <f t="shared" si="10"/>
        <v/>
      </c>
      <c r="BP34" s="202" t="str">
        <f t="shared" si="10"/>
        <v/>
      </c>
      <c r="BQ34" s="202" t="str">
        <f t="shared" si="10"/>
        <v/>
      </c>
      <c r="BR34" s="202" t="str">
        <f t="shared" ref="BR34:CA43" si="11">IFERROR(IF($H34+$I34=BR$33,$A34,(IF((BR$33&lt;$H34+$I34),(IF(BR$33&gt;$H34,$A34,"")),""))),"")</f>
        <v/>
      </c>
      <c r="BS34" s="202" t="str">
        <f t="shared" si="11"/>
        <v/>
      </c>
      <c r="BT34" s="202" t="str">
        <f t="shared" si="11"/>
        <v/>
      </c>
      <c r="BU34" s="202" t="str">
        <f t="shared" si="11"/>
        <v/>
      </c>
      <c r="BV34" s="202" t="str">
        <f t="shared" si="11"/>
        <v/>
      </c>
      <c r="BW34" s="202" t="str">
        <f t="shared" si="11"/>
        <v/>
      </c>
      <c r="BX34" s="202" t="str">
        <f t="shared" si="11"/>
        <v/>
      </c>
      <c r="BY34" s="202" t="str">
        <f t="shared" si="11"/>
        <v/>
      </c>
      <c r="BZ34" s="202" t="str">
        <f t="shared" si="11"/>
        <v/>
      </c>
      <c r="CA34" s="202" t="str">
        <f t="shared" si="11"/>
        <v/>
      </c>
      <c r="CB34" s="202" t="str">
        <f t="shared" ref="CB34:CK43" si="12">IFERROR(IF($H34+$I34=CB$33,$A34,(IF((CB$33&lt;$H34+$I34),(IF(CB$33&gt;$H34,$A34,"")),""))),"")</f>
        <v/>
      </c>
      <c r="CC34" s="202" t="str">
        <f t="shared" si="12"/>
        <v/>
      </c>
      <c r="CD34" s="202" t="str">
        <f t="shared" si="12"/>
        <v/>
      </c>
      <c r="CE34" s="202" t="str">
        <f t="shared" si="12"/>
        <v/>
      </c>
      <c r="CF34" s="202" t="str">
        <f t="shared" si="12"/>
        <v/>
      </c>
      <c r="CG34" s="202" t="str">
        <f t="shared" si="12"/>
        <v/>
      </c>
      <c r="CH34" s="202" t="str">
        <f t="shared" si="12"/>
        <v/>
      </c>
      <c r="CI34" s="202" t="str">
        <f t="shared" si="12"/>
        <v/>
      </c>
      <c r="CJ34" s="202" t="str">
        <f t="shared" si="12"/>
        <v/>
      </c>
      <c r="CK34" s="202" t="str">
        <f t="shared" si="12"/>
        <v/>
      </c>
      <c r="CL34" s="202" t="str">
        <f t="shared" ref="CL34:CU43" si="13">IFERROR(IF($H34+$I34=CL$33,$A34,(IF((CL$33&lt;$H34+$I34),(IF(CL$33&gt;$H34,$A34,"")),""))),"")</f>
        <v/>
      </c>
      <c r="CM34" s="202" t="str">
        <f t="shared" si="13"/>
        <v/>
      </c>
      <c r="CN34" s="202" t="str">
        <f t="shared" si="13"/>
        <v/>
      </c>
      <c r="CO34" s="202" t="str">
        <f t="shared" si="13"/>
        <v/>
      </c>
      <c r="CP34" s="202" t="str">
        <f t="shared" si="13"/>
        <v/>
      </c>
      <c r="CQ34" s="202" t="str">
        <f t="shared" si="13"/>
        <v/>
      </c>
      <c r="CR34" s="202" t="str">
        <f t="shared" si="13"/>
        <v/>
      </c>
      <c r="CS34" s="202" t="str">
        <f t="shared" si="13"/>
        <v/>
      </c>
      <c r="CT34" s="202" t="str">
        <f t="shared" si="13"/>
        <v/>
      </c>
      <c r="CU34" s="202" t="str">
        <f t="shared" si="13"/>
        <v/>
      </c>
      <c r="CV34" s="202" t="str">
        <f t="shared" ref="CV34:DA43" si="14">IFERROR(IF($H34+$I34=CV$33,$A34,(IF((CV$33&lt;$H34+$I34),(IF(CV$33&gt;$H34,$A34,"")),""))),"")</f>
        <v/>
      </c>
      <c r="CW34" s="202" t="str">
        <f t="shared" si="14"/>
        <v/>
      </c>
      <c r="CX34" s="202" t="str">
        <f t="shared" si="14"/>
        <v/>
      </c>
      <c r="CY34" s="202" t="str">
        <f t="shared" si="14"/>
        <v/>
      </c>
      <c r="CZ34" s="202" t="str">
        <f t="shared" si="14"/>
        <v/>
      </c>
      <c r="DA34" s="41" t="str">
        <f t="shared" si="14"/>
        <v/>
      </c>
    </row>
    <row r="35" spans="1:105" ht="14.4" customHeight="1" x14ac:dyDescent="0.3">
      <c r="A35" s="32">
        <v>1</v>
      </c>
      <c r="B35" s="344"/>
      <c r="C35" s="352"/>
      <c r="D35" s="273" t="s">
        <v>217</v>
      </c>
      <c r="E35" s="274"/>
      <c r="F35" s="274"/>
      <c r="G35" s="219" t="s">
        <v>344</v>
      </c>
      <c r="H35" s="222">
        <f t="shared" ref="H35:H46" si="15">H34+I34</f>
        <v>0</v>
      </c>
      <c r="I35" s="252"/>
      <c r="J35" s="42" t="str">
        <f t="shared" si="5"/>
        <v/>
      </c>
      <c r="K35" s="42" t="str">
        <f t="shared" si="5"/>
        <v/>
      </c>
      <c r="L35" s="42" t="str">
        <f t="shared" si="5"/>
        <v/>
      </c>
      <c r="M35" s="42" t="str">
        <f t="shared" si="5"/>
        <v/>
      </c>
      <c r="N35" s="42" t="str">
        <f t="shared" si="5"/>
        <v/>
      </c>
      <c r="O35" s="42" t="str">
        <f t="shared" si="5"/>
        <v/>
      </c>
      <c r="P35" s="42" t="str">
        <f t="shared" si="5"/>
        <v/>
      </c>
      <c r="Q35" s="42" t="str">
        <f t="shared" si="5"/>
        <v/>
      </c>
      <c r="R35" s="42" t="str">
        <f t="shared" si="5"/>
        <v/>
      </c>
      <c r="S35" s="42" t="str">
        <f t="shared" si="5"/>
        <v/>
      </c>
      <c r="T35" s="42" t="str">
        <f t="shared" si="6"/>
        <v/>
      </c>
      <c r="U35" s="42" t="str">
        <f t="shared" si="6"/>
        <v/>
      </c>
      <c r="V35" s="42" t="str">
        <f t="shared" si="6"/>
        <v/>
      </c>
      <c r="W35" s="42" t="str">
        <f t="shared" si="6"/>
        <v/>
      </c>
      <c r="X35" s="42" t="str">
        <f t="shared" si="6"/>
        <v/>
      </c>
      <c r="Y35" s="42" t="str">
        <f t="shared" si="6"/>
        <v/>
      </c>
      <c r="Z35" s="42" t="str">
        <f t="shared" si="6"/>
        <v/>
      </c>
      <c r="AA35" s="42" t="str">
        <f t="shared" si="6"/>
        <v/>
      </c>
      <c r="AB35" s="42" t="str">
        <f t="shared" si="6"/>
        <v/>
      </c>
      <c r="AC35" s="42" t="str">
        <f t="shared" si="6"/>
        <v/>
      </c>
      <c r="AD35" s="42" t="str">
        <f t="shared" si="7"/>
        <v/>
      </c>
      <c r="AE35" s="42" t="str">
        <f t="shared" si="7"/>
        <v/>
      </c>
      <c r="AF35" s="42" t="str">
        <f t="shared" si="7"/>
        <v/>
      </c>
      <c r="AG35" s="42" t="str">
        <f t="shared" si="7"/>
        <v/>
      </c>
      <c r="AH35" s="42" t="str">
        <f t="shared" si="7"/>
        <v/>
      </c>
      <c r="AI35" s="42" t="str">
        <f t="shared" si="7"/>
        <v/>
      </c>
      <c r="AJ35" s="42" t="str">
        <f t="shared" si="7"/>
        <v/>
      </c>
      <c r="AK35" s="42" t="str">
        <f t="shared" si="7"/>
        <v/>
      </c>
      <c r="AL35" s="42" t="str">
        <f t="shared" si="7"/>
        <v/>
      </c>
      <c r="AM35" s="42" t="str">
        <f t="shared" si="7"/>
        <v/>
      </c>
      <c r="AN35" s="42" t="str">
        <f t="shared" si="8"/>
        <v/>
      </c>
      <c r="AO35" s="42" t="str">
        <f t="shared" si="8"/>
        <v/>
      </c>
      <c r="AP35" s="42" t="str">
        <f t="shared" si="8"/>
        <v/>
      </c>
      <c r="AQ35" s="42" t="str">
        <f t="shared" si="8"/>
        <v/>
      </c>
      <c r="AR35" s="42" t="str">
        <f t="shared" si="8"/>
        <v/>
      </c>
      <c r="AS35" s="42" t="str">
        <f t="shared" si="8"/>
        <v/>
      </c>
      <c r="AT35" s="42" t="str">
        <f t="shared" si="8"/>
        <v/>
      </c>
      <c r="AU35" s="42" t="str">
        <f t="shared" si="8"/>
        <v/>
      </c>
      <c r="AV35" s="42" t="str">
        <f t="shared" si="8"/>
        <v/>
      </c>
      <c r="AW35" s="42" t="str">
        <f t="shared" si="8"/>
        <v/>
      </c>
      <c r="AX35" s="42" t="str">
        <f t="shared" si="9"/>
        <v/>
      </c>
      <c r="AY35" s="42" t="str">
        <f t="shared" si="9"/>
        <v/>
      </c>
      <c r="AZ35" s="42" t="str">
        <f t="shared" si="9"/>
        <v/>
      </c>
      <c r="BA35" s="42" t="str">
        <f t="shared" si="9"/>
        <v/>
      </c>
      <c r="BB35" s="42" t="str">
        <f t="shared" si="9"/>
        <v/>
      </c>
      <c r="BC35" s="42" t="str">
        <f t="shared" si="9"/>
        <v/>
      </c>
      <c r="BD35" s="42" t="str">
        <f t="shared" si="9"/>
        <v/>
      </c>
      <c r="BE35" s="154" t="str">
        <f t="shared" si="9"/>
        <v/>
      </c>
      <c r="BF35" s="42" t="str">
        <f t="shared" si="9"/>
        <v/>
      </c>
      <c r="BG35" s="42" t="str">
        <f t="shared" si="9"/>
        <v/>
      </c>
      <c r="BH35" s="42" t="str">
        <f t="shared" si="10"/>
        <v/>
      </c>
      <c r="BI35" s="42" t="str">
        <f t="shared" si="10"/>
        <v/>
      </c>
      <c r="BJ35" s="42" t="str">
        <f t="shared" si="10"/>
        <v/>
      </c>
      <c r="BK35" s="42" t="str">
        <f t="shared" si="10"/>
        <v/>
      </c>
      <c r="BL35" s="42" t="str">
        <f t="shared" si="10"/>
        <v/>
      </c>
      <c r="BM35" s="42" t="str">
        <f t="shared" si="10"/>
        <v/>
      </c>
      <c r="BN35" s="42" t="str">
        <f t="shared" si="10"/>
        <v/>
      </c>
      <c r="BO35" s="42" t="str">
        <f t="shared" si="10"/>
        <v/>
      </c>
      <c r="BP35" s="42" t="str">
        <f t="shared" si="10"/>
        <v/>
      </c>
      <c r="BQ35" s="42" t="str">
        <f t="shared" si="10"/>
        <v/>
      </c>
      <c r="BR35" s="42" t="str">
        <f t="shared" si="11"/>
        <v/>
      </c>
      <c r="BS35" s="42" t="str">
        <f t="shared" si="11"/>
        <v/>
      </c>
      <c r="BT35" s="42" t="str">
        <f t="shared" si="11"/>
        <v/>
      </c>
      <c r="BU35" s="42" t="str">
        <f t="shared" si="11"/>
        <v/>
      </c>
      <c r="BV35" s="42" t="str">
        <f t="shared" si="11"/>
        <v/>
      </c>
      <c r="BW35" s="42" t="str">
        <f t="shared" si="11"/>
        <v/>
      </c>
      <c r="BX35" s="42" t="str">
        <f t="shared" si="11"/>
        <v/>
      </c>
      <c r="BY35" s="42" t="str">
        <f t="shared" si="11"/>
        <v/>
      </c>
      <c r="BZ35" s="42" t="str">
        <f t="shared" si="11"/>
        <v/>
      </c>
      <c r="CA35" s="42" t="str">
        <f t="shared" si="11"/>
        <v/>
      </c>
      <c r="CB35" s="42" t="str">
        <f t="shared" si="12"/>
        <v/>
      </c>
      <c r="CC35" s="42" t="str">
        <f t="shared" si="12"/>
        <v/>
      </c>
      <c r="CD35" s="42" t="str">
        <f t="shared" si="12"/>
        <v/>
      </c>
      <c r="CE35" s="42" t="str">
        <f t="shared" si="12"/>
        <v/>
      </c>
      <c r="CF35" s="42" t="str">
        <f t="shared" si="12"/>
        <v/>
      </c>
      <c r="CG35" s="42" t="str">
        <f t="shared" si="12"/>
        <v/>
      </c>
      <c r="CH35" s="42" t="str">
        <f t="shared" si="12"/>
        <v/>
      </c>
      <c r="CI35" s="42" t="str">
        <f t="shared" si="12"/>
        <v/>
      </c>
      <c r="CJ35" s="42" t="str">
        <f t="shared" si="12"/>
        <v/>
      </c>
      <c r="CK35" s="42" t="str">
        <f t="shared" si="12"/>
        <v/>
      </c>
      <c r="CL35" s="42" t="str">
        <f t="shared" si="13"/>
        <v/>
      </c>
      <c r="CM35" s="42" t="str">
        <f t="shared" si="13"/>
        <v/>
      </c>
      <c r="CN35" s="42" t="str">
        <f t="shared" si="13"/>
        <v/>
      </c>
      <c r="CO35" s="42" t="str">
        <f t="shared" si="13"/>
        <v/>
      </c>
      <c r="CP35" s="42" t="str">
        <f t="shared" si="13"/>
        <v/>
      </c>
      <c r="CQ35" s="42" t="str">
        <f t="shared" si="13"/>
        <v/>
      </c>
      <c r="CR35" s="42" t="str">
        <f t="shared" si="13"/>
        <v/>
      </c>
      <c r="CS35" s="42" t="str">
        <f t="shared" si="13"/>
        <v/>
      </c>
      <c r="CT35" s="42" t="str">
        <f t="shared" si="13"/>
        <v/>
      </c>
      <c r="CU35" s="42" t="str">
        <f t="shared" si="13"/>
        <v/>
      </c>
      <c r="CV35" s="42" t="str">
        <f t="shared" si="14"/>
        <v/>
      </c>
      <c r="CW35" s="42" t="str">
        <f t="shared" si="14"/>
        <v/>
      </c>
      <c r="CX35" s="42" t="str">
        <f t="shared" si="14"/>
        <v/>
      </c>
      <c r="CY35" s="42" t="str">
        <f t="shared" si="14"/>
        <v/>
      </c>
      <c r="CZ35" s="42" t="str">
        <f t="shared" si="14"/>
        <v/>
      </c>
      <c r="DA35" s="43" t="str">
        <f t="shared" si="14"/>
        <v/>
      </c>
    </row>
    <row r="36" spans="1:105" ht="14.4" customHeight="1" x14ac:dyDescent="0.3">
      <c r="A36" s="32">
        <v>1</v>
      </c>
      <c r="B36" s="344"/>
      <c r="C36" s="352"/>
      <c r="D36" s="326" t="s">
        <v>218</v>
      </c>
      <c r="E36" s="327"/>
      <c r="F36" s="327"/>
      <c r="G36" s="220" t="s">
        <v>346</v>
      </c>
      <c r="H36" s="223">
        <f t="shared" si="15"/>
        <v>0</v>
      </c>
      <c r="I36" s="253"/>
      <c r="J36" s="204" t="str">
        <f t="shared" si="5"/>
        <v/>
      </c>
      <c r="K36" s="204" t="str">
        <f t="shared" si="5"/>
        <v/>
      </c>
      <c r="L36" s="204" t="str">
        <f t="shared" si="5"/>
        <v/>
      </c>
      <c r="M36" s="204" t="str">
        <f t="shared" si="5"/>
        <v/>
      </c>
      <c r="N36" s="204" t="str">
        <f t="shared" si="5"/>
        <v/>
      </c>
      <c r="O36" s="204" t="str">
        <f t="shared" si="5"/>
        <v/>
      </c>
      <c r="P36" s="204" t="str">
        <f t="shared" si="5"/>
        <v/>
      </c>
      <c r="Q36" s="204" t="str">
        <f t="shared" si="5"/>
        <v/>
      </c>
      <c r="R36" s="204" t="str">
        <f t="shared" si="5"/>
        <v/>
      </c>
      <c r="S36" s="204" t="str">
        <f t="shared" si="5"/>
        <v/>
      </c>
      <c r="T36" s="204" t="str">
        <f t="shared" si="6"/>
        <v/>
      </c>
      <c r="U36" s="204" t="str">
        <f t="shared" si="6"/>
        <v/>
      </c>
      <c r="V36" s="204" t="str">
        <f t="shared" si="6"/>
        <v/>
      </c>
      <c r="W36" s="204" t="str">
        <f t="shared" si="6"/>
        <v/>
      </c>
      <c r="X36" s="204" t="str">
        <f t="shared" si="6"/>
        <v/>
      </c>
      <c r="Y36" s="204" t="str">
        <f t="shared" si="6"/>
        <v/>
      </c>
      <c r="Z36" s="204" t="str">
        <f t="shared" si="6"/>
        <v/>
      </c>
      <c r="AA36" s="204" t="str">
        <f t="shared" si="6"/>
        <v/>
      </c>
      <c r="AB36" s="204" t="str">
        <f t="shared" si="6"/>
        <v/>
      </c>
      <c r="AC36" s="204" t="str">
        <f t="shared" si="6"/>
        <v/>
      </c>
      <c r="AD36" s="204" t="str">
        <f t="shared" si="7"/>
        <v/>
      </c>
      <c r="AE36" s="204" t="str">
        <f t="shared" si="7"/>
        <v/>
      </c>
      <c r="AF36" s="204" t="str">
        <f t="shared" si="7"/>
        <v/>
      </c>
      <c r="AG36" s="204" t="str">
        <f t="shared" si="7"/>
        <v/>
      </c>
      <c r="AH36" s="204" t="str">
        <f t="shared" si="7"/>
        <v/>
      </c>
      <c r="AI36" s="204" t="str">
        <f t="shared" si="7"/>
        <v/>
      </c>
      <c r="AJ36" s="204" t="str">
        <f t="shared" si="7"/>
        <v/>
      </c>
      <c r="AK36" s="204" t="str">
        <f t="shared" si="7"/>
        <v/>
      </c>
      <c r="AL36" s="204" t="str">
        <f t="shared" si="7"/>
        <v/>
      </c>
      <c r="AM36" s="204" t="str">
        <f t="shared" si="7"/>
        <v/>
      </c>
      <c r="AN36" s="204" t="str">
        <f t="shared" si="8"/>
        <v/>
      </c>
      <c r="AO36" s="204" t="str">
        <f t="shared" si="8"/>
        <v/>
      </c>
      <c r="AP36" s="204" t="str">
        <f t="shared" si="8"/>
        <v/>
      </c>
      <c r="AQ36" s="204" t="str">
        <f t="shared" si="8"/>
        <v/>
      </c>
      <c r="AR36" s="204" t="str">
        <f t="shared" si="8"/>
        <v/>
      </c>
      <c r="AS36" s="204" t="str">
        <f t="shared" si="8"/>
        <v/>
      </c>
      <c r="AT36" s="204" t="str">
        <f t="shared" si="8"/>
        <v/>
      </c>
      <c r="AU36" s="204" t="str">
        <f t="shared" si="8"/>
        <v/>
      </c>
      <c r="AV36" s="204" t="str">
        <f t="shared" si="8"/>
        <v/>
      </c>
      <c r="AW36" s="204" t="str">
        <f t="shared" si="8"/>
        <v/>
      </c>
      <c r="AX36" s="204" t="str">
        <f t="shared" si="9"/>
        <v/>
      </c>
      <c r="AY36" s="204" t="str">
        <f t="shared" si="9"/>
        <v/>
      </c>
      <c r="AZ36" s="204" t="str">
        <f t="shared" si="9"/>
        <v/>
      </c>
      <c r="BA36" s="204" t="str">
        <f t="shared" si="9"/>
        <v/>
      </c>
      <c r="BB36" s="204" t="str">
        <f t="shared" si="9"/>
        <v/>
      </c>
      <c r="BC36" s="204" t="str">
        <f t="shared" si="9"/>
        <v/>
      </c>
      <c r="BD36" s="204" t="str">
        <f t="shared" si="9"/>
        <v/>
      </c>
      <c r="BE36" s="205" t="str">
        <f t="shared" si="9"/>
        <v/>
      </c>
      <c r="BF36" s="42" t="str">
        <f t="shared" si="9"/>
        <v/>
      </c>
      <c r="BG36" s="42" t="str">
        <f t="shared" si="9"/>
        <v/>
      </c>
      <c r="BH36" s="42" t="str">
        <f t="shared" si="10"/>
        <v/>
      </c>
      <c r="BI36" s="42" t="str">
        <f t="shared" si="10"/>
        <v/>
      </c>
      <c r="BJ36" s="42" t="str">
        <f t="shared" si="10"/>
        <v/>
      </c>
      <c r="BK36" s="42" t="str">
        <f t="shared" si="10"/>
        <v/>
      </c>
      <c r="BL36" s="42" t="str">
        <f t="shared" si="10"/>
        <v/>
      </c>
      <c r="BM36" s="42" t="str">
        <f t="shared" si="10"/>
        <v/>
      </c>
      <c r="BN36" s="42" t="str">
        <f t="shared" si="10"/>
        <v/>
      </c>
      <c r="BO36" s="42" t="str">
        <f t="shared" si="10"/>
        <v/>
      </c>
      <c r="BP36" s="42" t="str">
        <f t="shared" si="10"/>
        <v/>
      </c>
      <c r="BQ36" s="42" t="str">
        <f t="shared" si="10"/>
        <v/>
      </c>
      <c r="BR36" s="42" t="str">
        <f t="shared" si="11"/>
        <v/>
      </c>
      <c r="BS36" s="42" t="str">
        <f t="shared" si="11"/>
        <v/>
      </c>
      <c r="BT36" s="42" t="str">
        <f t="shared" si="11"/>
        <v/>
      </c>
      <c r="BU36" s="42" t="str">
        <f t="shared" si="11"/>
        <v/>
      </c>
      <c r="BV36" s="42" t="str">
        <f t="shared" si="11"/>
        <v/>
      </c>
      <c r="BW36" s="42" t="str">
        <f t="shared" si="11"/>
        <v/>
      </c>
      <c r="BX36" s="42" t="str">
        <f t="shared" si="11"/>
        <v/>
      </c>
      <c r="BY36" s="42" t="str">
        <f t="shared" si="11"/>
        <v/>
      </c>
      <c r="BZ36" s="42" t="str">
        <f t="shared" si="11"/>
        <v/>
      </c>
      <c r="CA36" s="42" t="str">
        <f t="shared" si="11"/>
        <v/>
      </c>
      <c r="CB36" s="42" t="str">
        <f t="shared" si="12"/>
        <v/>
      </c>
      <c r="CC36" s="42" t="str">
        <f t="shared" si="12"/>
        <v/>
      </c>
      <c r="CD36" s="42" t="str">
        <f t="shared" si="12"/>
        <v/>
      </c>
      <c r="CE36" s="42" t="str">
        <f t="shared" si="12"/>
        <v/>
      </c>
      <c r="CF36" s="42" t="str">
        <f t="shared" si="12"/>
        <v/>
      </c>
      <c r="CG36" s="42" t="str">
        <f t="shared" si="12"/>
        <v/>
      </c>
      <c r="CH36" s="42" t="str">
        <f t="shared" si="12"/>
        <v/>
      </c>
      <c r="CI36" s="42" t="str">
        <f t="shared" si="12"/>
        <v/>
      </c>
      <c r="CJ36" s="42" t="str">
        <f t="shared" si="12"/>
        <v/>
      </c>
      <c r="CK36" s="42" t="str">
        <f t="shared" si="12"/>
        <v/>
      </c>
      <c r="CL36" s="42" t="str">
        <f t="shared" si="13"/>
        <v/>
      </c>
      <c r="CM36" s="42" t="str">
        <f t="shared" si="13"/>
        <v/>
      </c>
      <c r="CN36" s="42" t="str">
        <f t="shared" si="13"/>
        <v/>
      </c>
      <c r="CO36" s="42" t="str">
        <f t="shared" si="13"/>
        <v/>
      </c>
      <c r="CP36" s="42" t="str">
        <f t="shared" si="13"/>
        <v/>
      </c>
      <c r="CQ36" s="42" t="str">
        <f t="shared" si="13"/>
        <v/>
      </c>
      <c r="CR36" s="42" t="str">
        <f t="shared" si="13"/>
        <v/>
      </c>
      <c r="CS36" s="42" t="str">
        <f t="shared" si="13"/>
        <v/>
      </c>
      <c r="CT36" s="42" t="str">
        <f t="shared" si="13"/>
        <v/>
      </c>
      <c r="CU36" s="42" t="str">
        <f t="shared" si="13"/>
        <v/>
      </c>
      <c r="CV36" s="42" t="str">
        <f t="shared" si="14"/>
        <v/>
      </c>
      <c r="CW36" s="42" t="str">
        <f t="shared" si="14"/>
        <v/>
      </c>
      <c r="CX36" s="42" t="str">
        <f t="shared" si="14"/>
        <v/>
      </c>
      <c r="CY36" s="42" t="str">
        <f t="shared" si="14"/>
        <v/>
      </c>
      <c r="CZ36" s="42" t="str">
        <f t="shared" si="14"/>
        <v/>
      </c>
      <c r="DA36" s="43" t="str">
        <f t="shared" si="14"/>
        <v/>
      </c>
    </row>
    <row r="37" spans="1:105" s="196" customFormat="1" ht="14.4" customHeight="1" x14ac:dyDescent="0.3">
      <c r="A37" s="32">
        <v>2</v>
      </c>
      <c r="B37" s="344"/>
      <c r="C37" s="352"/>
      <c r="D37" s="328" t="s">
        <v>219</v>
      </c>
      <c r="E37" s="329"/>
      <c r="F37" s="329"/>
      <c r="G37" s="217" t="s">
        <v>227</v>
      </c>
      <c r="H37" s="221">
        <f t="shared" si="15"/>
        <v>0</v>
      </c>
      <c r="I37" s="254"/>
      <c r="J37" s="202" t="str">
        <f t="shared" si="5"/>
        <v/>
      </c>
      <c r="K37" s="202" t="str">
        <f t="shared" si="5"/>
        <v/>
      </c>
      <c r="L37" s="202" t="str">
        <f t="shared" si="5"/>
        <v/>
      </c>
      <c r="M37" s="202" t="str">
        <f t="shared" si="5"/>
        <v/>
      </c>
      <c r="N37" s="202" t="str">
        <f t="shared" si="5"/>
        <v/>
      </c>
      <c r="O37" s="202" t="str">
        <f t="shared" si="5"/>
        <v/>
      </c>
      <c r="P37" s="202" t="str">
        <f t="shared" si="5"/>
        <v/>
      </c>
      <c r="Q37" s="202" t="str">
        <f t="shared" si="5"/>
        <v/>
      </c>
      <c r="R37" s="202" t="str">
        <f t="shared" si="5"/>
        <v/>
      </c>
      <c r="S37" s="202" t="str">
        <f t="shared" si="5"/>
        <v/>
      </c>
      <c r="T37" s="202" t="str">
        <f t="shared" si="6"/>
        <v/>
      </c>
      <c r="U37" s="202" t="str">
        <f t="shared" si="6"/>
        <v/>
      </c>
      <c r="V37" s="202" t="str">
        <f t="shared" si="6"/>
        <v/>
      </c>
      <c r="W37" s="202" t="str">
        <f t="shared" si="6"/>
        <v/>
      </c>
      <c r="X37" s="202" t="str">
        <f t="shared" si="6"/>
        <v/>
      </c>
      <c r="Y37" s="202" t="str">
        <f t="shared" si="6"/>
        <v/>
      </c>
      <c r="Z37" s="202" t="str">
        <f t="shared" si="6"/>
        <v/>
      </c>
      <c r="AA37" s="202" t="str">
        <f t="shared" si="6"/>
        <v/>
      </c>
      <c r="AB37" s="202" t="str">
        <f t="shared" si="6"/>
        <v/>
      </c>
      <c r="AC37" s="202" t="str">
        <f t="shared" si="6"/>
        <v/>
      </c>
      <c r="AD37" s="202" t="str">
        <f t="shared" si="7"/>
        <v/>
      </c>
      <c r="AE37" s="202" t="str">
        <f t="shared" si="7"/>
        <v/>
      </c>
      <c r="AF37" s="202" t="str">
        <f t="shared" si="7"/>
        <v/>
      </c>
      <c r="AG37" s="202" t="str">
        <f t="shared" si="7"/>
        <v/>
      </c>
      <c r="AH37" s="202" t="str">
        <f t="shared" si="7"/>
        <v/>
      </c>
      <c r="AI37" s="202" t="str">
        <f t="shared" si="7"/>
        <v/>
      </c>
      <c r="AJ37" s="202" t="str">
        <f t="shared" si="7"/>
        <v/>
      </c>
      <c r="AK37" s="202" t="str">
        <f t="shared" si="7"/>
        <v/>
      </c>
      <c r="AL37" s="202" t="str">
        <f t="shared" si="7"/>
        <v/>
      </c>
      <c r="AM37" s="202" t="str">
        <f t="shared" si="7"/>
        <v/>
      </c>
      <c r="AN37" s="202" t="str">
        <f t="shared" si="8"/>
        <v/>
      </c>
      <c r="AO37" s="202" t="str">
        <f t="shared" si="8"/>
        <v/>
      </c>
      <c r="AP37" s="202" t="str">
        <f t="shared" si="8"/>
        <v/>
      </c>
      <c r="AQ37" s="202" t="str">
        <f t="shared" si="8"/>
        <v/>
      </c>
      <c r="AR37" s="202" t="str">
        <f t="shared" si="8"/>
        <v/>
      </c>
      <c r="AS37" s="202" t="str">
        <f t="shared" si="8"/>
        <v/>
      </c>
      <c r="AT37" s="202" t="str">
        <f t="shared" si="8"/>
        <v/>
      </c>
      <c r="AU37" s="202" t="str">
        <f t="shared" si="8"/>
        <v/>
      </c>
      <c r="AV37" s="202" t="str">
        <f t="shared" si="8"/>
        <v/>
      </c>
      <c r="AW37" s="202" t="str">
        <f t="shared" si="8"/>
        <v/>
      </c>
      <c r="AX37" s="202" t="str">
        <f t="shared" si="9"/>
        <v/>
      </c>
      <c r="AY37" s="202" t="str">
        <f t="shared" si="9"/>
        <v/>
      </c>
      <c r="AZ37" s="202" t="str">
        <f t="shared" si="9"/>
        <v/>
      </c>
      <c r="BA37" s="202" t="str">
        <f t="shared" si="9"/>
        <v/>
      </c>
      <c r="BB37" s="202" t="str">
        <f t="shared" si="9"/>
        <v/>
      </c>
      <c r="BC37" s="202" t="str">
        <f t="shared" si="9"/>
        <v/>
      </c>
      <c r="BD37" s="202" t="str">
        <f t="shared" si="9"/>
        <v/>
      </c>
      <c r="BE37" s="203" t="str">
        <f t="shared" si="9"/>
        <v/>
      </c>
      <c r="BF37" s="202" t="str">
        <f t="shared" si="9"/>
        <v/>
      </c>
      <c r="BG37" s="202" t="str">
        <f t="shared" si="9"/>
        <v/>
      </c>
      <c r="BH37" s="202" t="str">
        <f t="shared" si="10"/>
        <v/>
      </c>
      <c r="BI37" s="202" t="str">
        <f t="shared" si="10"/>
        <v/>
      </c>
      <c r="BJ37" s="202" t="str">
        <f t="shared" si="10"/>
        <v/>
      </c>
      <c r="BK37" s="202" t="str">
        <f t="shared" si="10"/>
        <v/>
      </c>
      <c r="BL37" s="202" t="str">
        <f t="shared" si="10"/>
        <v/>
      </c>
      <c r="BM37" s="202" t="str">
        <f t="shared" si="10"/>
        <v/>
      </c>
      <c r="BN37" s="202" t="str">
        <f t="shared" si="10"/>
        <v/>
      </c>
      <c r="BO37" s="202" t="str">
        <f t="shared" si="10"/>
        <v/>
      </c>
      <c r="BP37" s="202" t="str">
        <f t="shared" si="10"/>
        <v/>
      </c>
      <c r="BQ37" s="202" t="str">
        <f t="shared" si="10"/>
        <v/>
      </c>
      <c r="BR37" s="202" t="str">
        <f t="shared" si="11"/>
        <v/>
      </c>
      <c r="BS37" s="202" t="str">
        <f t="shared" si="11"/>
        <v/>
      </c>
      <c r="BT37" s="202" t="str">
        <f t="shared" si="11"/>
        <v/>
      </c>
      <c r="BU37" s="202" t="str">
        <f t="shared" si="11"/>
        <v/>
      </c>
      <c r="BV37" s="202" t="str">
        <f t="shared" si="11"/>
        <v/>
      </c>
      <c r="BW37" s="202" t="str">
        <f t="shared" si="11"/>
        <v/>
      </c>
      <c r="BX37" s="202" t="str">
        <f t="shared" si="11"/>
        <v/>
      </c>
      <c r="BY37" s="202" t="str">
        <f t="shared" si="11"/>
        <v/>
      </c>
      <c r="BZ37" s="202" t="str">
        <f t="shared" si="11"/>
        <v/>
      </c>
      <c r="CA37" s="202" t="str">
        <f t="shared" si="11"/>
        <v/>
      </c>
      <c r="CB37" s="202" t="str">
        <f t="shared" si="12"/>
        <v/>
      </c>
      <c r="CC37" s="202" t="str">
        <f t="shared" si="12"/>
        <v/>
      </c>
      <c r="CD37" s="202" t="str">
        <f t="shared" si="12"/>
        <v/>
      </c>
      <c r="CE37" s="202" t="str">
        <f t="shared" si="12"/>
        <v/>
      </c>
      <c r="CF37" s="202" t="str">
        <f t="shared" si="12"/>
        <v/>
      </c>
      <c r="CG37" s="202" t="str">
        <f t="shared" si="12"/>
        <v/>
      </c>
      <c r="CH37" s="202" t="str">
        <f t="shared" si="12"/>
        <v/>
      </c>
      <c r="CI37" s="202" t="str">
        <f t="shared" si="12"/>
        <v/>
      </c>
      <c r="CJ37" s="202" t="str">
        <f t="shared" si="12"/>
        <v/>
      </c>
      <c r="CK37" s="202" t="str">
        <f t="shared" si="12"/>
        <v/>
      </c>
      <c r="CL37" s="202" t="str">
        <f t="shared" si="13"/>
        <v/>
      </c>
      <c r="CM37" s="202" t="str">
        <f t="shared" si="13"/>
        <v/>
      </c>
      <c r="CN37" s="202" t="str">
        <f t="shared" si="13"/>
        <v/>
      </c>
      <c r="CO37" s="202" t="str">
        <f t="shared" si="13"/>
        <v/>
      </c>
      <c r="CP37" s="202" t="str">
        <f t="shared" si="13"/>
        <v/>
      </c>
      <c r="CQ37" s="202" t="str">
        <f t="shared" si="13"/>
        <v/>
      </c>
      <c r="CR37" s="202" t="str">
        <f t="shared" si="13"/>
        <v/>
      </c>
      <c r="CS37" s="202" t="str">
        <f t="shared" si="13"/>
        <v/>
      </c>
      <c r="CT37" s="202" t="str">
        <f t="shared" si="13"/>
        <v/>
      </c>
      <c r="CU37" s="202" t="str">
        <f t="shared" si="13"/>
        <v/>
      </c>
      <c r="CV37" s="202" t="str">
        <f t="shared" si="14"/>
        <v/>
      </c>
      <c r="CW37" s="202" t="str">
        <f t="shared" si="14"/>
        <v/>
      </c>
      <c r="CX37" s="202" t="str">
        <f t="shared" si="14"/>
        <v/>
      </c>
      <c r="CY37" s="202" t="str">
        <f t="shared" si="14"/>
        <v/>
      </c>
      <c r="CZ37" s="202" t="str">
        <f t="shared" si="14"/>
        <v/>
      </c>
      <c r="DA37" s="206" t="str">
        <f t="shared" si="14"/>
        <v/>
      </c>
    </row>
    <row r="38" spans="1:105" s="197" customFormat="1" ht="14.4" customHeight="1" x14ac:dyDescent="0.3">
      <c r="A38" s="32">
        <v>2</v>
      </c>
      <c r="B38" s="344"/>
      <c r="C38" s="352"/>
      <c r="D38" s="326" t="s">
        <v>220</v>
      </c>
      <c r="E38" s="327"/>
      <c r="F38" s="327"/>
      <c r="G38" s="220" t="s">
        <v>345</v>
      </c>
      <c r="H38" s="223">
        <f t="shared" si="15"/>
        <v>0</v>
      </c>
      <c r="I38" s="253"/>
      <c r="J38" s="204" t="str">
        <f t="shared" si="5"/>
        <v/>
      </c>
      <c r="K38" s="204" t="str">
        <f t="shared" si="5"/>
        <v/>
      </c>
      <c r="L38" s="204" t="str">
        <f t="shared" si="5"/>
        <v/>
      </c>
      <c r="M38" s="204" t="str">
        <f t="shared" si="5"/>
        <v/>
      </c>
      <c r="N38" s="204" t="str">
        <f t="shared" si="5"/>
        <v/>
      </c>
      <c r="O38" s="204" t="str">
        <f t="shared" si="5"/>
        <v/>
      </c>
      <c r="P38" s="204" t="str">
        <f t="shared" si="5"/>
        <v/>
      </c>
      <c r="Q38" s="204" t="str">
        <f t="shared" si="5"/>
        <v/>
      </c>
      <c r="R38" s="204" t="str">
        <f t="shared" si="5"/>
        <v/>
      </c>
      <c r="S38" s="204" t="str">
        <f t="shared" si="5"/>
        <v/>
      </c>
      <c r="T38" s="204" t="str">
        <f t="shared" si="6"/>
        <v/>
      </c>
      <c r="U38" s="204" t="str">
        <f t="shared" si="6"/>
        <v/>
      </c>
      <c r="V38" s="204" t="str">
        <f t="shared" si="6"/>
        <v/>
      </c>
      <c r="W38" s="204" t="str">
        <f t="shared" si="6"/>
        <v/>
      </c>
      <c r="X38" s="204" t="str">
        <f t="shared" si="6"/>
        <v/>
      </c>
      <c r="Y38" s="204" t="str">
        <f t="shared" si="6"/>
        <v/>
      </c>
      <c r="Z38" s="204" t="str">
        <f t="shared" si="6"/>
        <v/>
      </c>
      <c r="AA38" s="204" t="str">
        <f t="shared" si="6"/>
        <v/>
      </c>
      <c r="AB38" s="204" t="str">
        <f t="shared" si="6"/>
        <v/>
      </c>
      <c r="AC38" s="204" t="str">
        <f t="shared" si="6"/>
        <v/>
      </c>
      <c r="AD38" s="204" t="str">
        <f t="shared" si="7"/>
        <v/>
      </c>
      <c r="AE38" s="204" t="str">
        <f t="shared" si="7"/>
        <v/>
      </c>
      <c r="AF38" s="204" t="str">
        <f t="shared" si="7"/>
        <v/>
      </c>
      <c r="AG38" s="204" t="str">
        <f t="shared" si="7"/>
        <v/>
      </c>
      <c r="AH38" s="204" t="str">
        <f t="shared" si="7"/>
        <v/>
      </c>
      <c r="AI38" s="204" t="str">
        <f t="shared" si="7"/>
        <v/>
      </c>
      <c r="AJ38" s="204" t="str">
        <f t="shared" si="7"/>
        <v/>
      </c>
      <c r="AK38" s="204" t="str">
        <f t="shared" si="7"/>
        <v/>
      </c>
      <c r="AL38" s="204" t="str">
        <f t="shared" si="7"/>
        <v/>
      </c>
      <c r="AM38" s="204" t="str">
        <f t="shared" si="7"/>
        <v/>
      </c>
      <c r="AN38" s="204" t="str">
        <f t="shared" si="8"/>
        <v/>
      </c>
      <c r="AO38" s="204" t="str">
        <f t="shared" si="8"/>
        <v/>
      </c>
      <c r="AP38" s="204" t="str">
        <f t="shared" si="8"/>
        <v/>
      </c>
      <c r="AQ38" s="204" t="str">
        <f t="shared" si="8"/>
        <v/>
      </c>
      <c r="AR38" s="204" t="str">
        <f t="shared" si="8"/>
        <v/>
      </c>
      <c r="AS38" s="204" t="str">
        <f t="shared" si="8"/>
        <v/>
      </c>
      <c r="AT38" s="204" t="str">
        <f t="shared" si="8"/>
        <v/>
      </c>
      <c r="AU38" s="204" t="str">
        <f t="shared" si="8"/>
        <v/>
      </c>
      <c r="AV38" s="204" t="str">
        <f t="shared" si="8"/>
        <v/>
      </c>
      <c r="AW38" s="204" t="str">
        <f t="shared" si="8"/>
        <v/>
      </c>
      <c r="AX38" s="204" t="str">
        <f t="shared" si="9"/>
        <v/>
      </c>
      <c r="AY38" s="204" t="str">
        <f t="shared" si="9"/>
        <v/>
      </c>
      <c r="AZ38" s="204" t="str">
        <f t="shared" si="9"/>
        <v/>
      </c>
      <c r="BA38" s="204" t="str">
        <f t="shared" si="9"/>
        <v/>
      </c>
      <c r="BB38" s="204" t="str">
        <f t="shared" si="9"/>
        <v/>
      </c>
      <c r="BC38" s="204" t="str">
        <f t="shared" si="9"/>
        <v/>
      </c>
      <c r="BD38" s="204" t="str">
        <f t="shared" si="9"/>
        <v/>
      </c>
      <c r="BE38" s="205" t="str">
        <f t="shared" si="9"/>
        <v/>
      </c>
      <c r="BF38" s="204" t="str">
        <f t="shared" si="9"/>
        <v/>
      </c>
      <c r="BG38" s="204" t="str">
        <f t="shared" si="9"/>
        <v/>
      </c>
      <c r="BH38" s="204" t="str">
        <f t="shared" si="10"/>
        <v/>
      </c>
      <c r="BI38" s="204" t="str">
        <f t="shared" si="10"/>
        <v/>
      </c>
      <c r="BJ38" s="204" t="str">
        <f t="shared" si="10"/>
        <v/>
      </c>
      <c r="BK38" s="204" t="str">
        <f t="shared" si="10"/>
        <v/>
      </c>
      <c r="BL38" s="204" t="str">
        <f t="shared" si="10"/>
        <v/>
      </c>
      <c r="BM38" s="204" t="str">
        <f t="shared" si="10"/>
        <v/>
      </c>
      <c r="BN38" s="204" t="str">
        <f t="shared" si="10"/>
        <v/>
      </c>
      <c r="BO38" s="204" t="str">
        <f t="shared" si="10"/>
        <v/>
      </c>
      <c r="BP38" s="204" t="str">
        <f t="shared" si="10"/>
        <v/>
      </c>
      <c r="BQ38" s="204" t="str">
        <f t="shared" si="10"/>
        <v/>
      </c>
      <c r="BR38" s="204" t="str">
        <f t="shared" si="11"/>
        <v/>
      </c>
      <c r="BS38" s="204" t="str">
        <f t="shared" si="11"/>
        <v/>
      </c>
      <c r="BT38" s="204" t="str">
        <f t="shared" si="11"/>
        <v/>
      </c>
      <c r="BU38" s="204" t="str">
        <f t="shared" si="11"/>
        <v/>
      </c>
      <c r="BV38" s="204" t="str">
        <f t="shared" si="11"/>
        <v/>
      </c>
      <c r="BW38" s="204" t="str">
        <f t="shared" si="11"/>
        <v/>
      </c>
      <c r="BX38" s="204" t="str">
        <f t="shared" si="11"/>
        <v/>
      </c>
      <c r="BY38" s="204" t="str">
        <f t="shared" si="11"/>
        <v/>
      </c>
      <c r="BZ38" s="204" t="str">
        <f t="shared" si="11"/>
        <v/>
      </c>
      <c r="CA38" s="204" t="str">
        <f t="shared" si="11"/>
        <v/>
      </c>
      <c r="CB38" s="204" t="str">
        <f t="shared" si="12"/>
        <v/>
      </c>
      <c r="CC38" s="204" t="str">
        <f t="shared" si="12"/>
        <v/>
      </c>
      <c r="CD38" s="204" t="str">
        <f t="shared" si="12"/>
        <v/>
      </c>
      <c r="CE38" s="204" t="str">
        <f t="shared" si="12"/>
        <v/>
      </c>
      <c r="CF38" s="204" t="str">
        <f t="shared" si="12"/>
        <v/>
      </c>
      <c r="CG38" s="204" t="str">
        <f t="shared" si="12"/>
        <v/>
      </c>
      <c r="CH38" s="204" t="str">
        <f t="shared" si="12"/>
        <v/>
      </c>
      <c r="CI38" s="204" t="str">
        <f t="shared" si="12"/>
        <v/>
      </c>
      <c r="CJ38" s="204" t="str">
        <f t="shared" si="12"/>
        <v/>
      </c>
      <c r="CK38" s="204" t="str">
        <f t="shared" si="12"/>
        <v/>
      </c>
      <c r="CL38" s="204" t="str">
        <f t="shared" si="13"/>
        <v/>
      </c>
      <c r="CM38" s="204" t="str">
        <f t="shared" si="13"/>
        <v/>
      </c>
      <c r="CN38" s="204" t="str">
        <f t="shared" si="13"/>
        <v/>
      </c>
      <c r="CO38" s="204" t="str">
        <f t="shared" si="13"/>
        <v/>
      </c>
      <c r="CP38" s="204" t="str">
        <f t="shared" si="13"/>
        <v/>
      </c>
      <c r="CQ38" s="204" t="str">
        <f t="shared" si="13"/>
        <v/>
      </c>
      <c r="CR38" s="204" t="str">
        <f t="shared" si="13"/>
        <v/>
      </c>
      <c r="CS38" s="204" t="str">
        <f t="shared" si="13"/>
        <v/>
      </c>
      <c r="CT38" s="204" t="str">
        <f t="shared" si="13"/>
        <v/>
      </c>
      <c r="CU38" s="204" t="str">
        <f t="shared" si="13"/>
        <v/>
      </c>
      <c r="CV38" s="204" t="str">
        <f t="shared" si="14"/>
        <v/>
      </c>
      <c r="CW38" s="204" t="str">
        <f t="shared" si="14"/>
        <v/>
      </c>
      <c r="CX38" s="204" t="str">
        <f t="shared" si="14"/>
        <v/>
      </c>
      <c r="CY38" s="204" t="str">
        <f t="shared" si="14"/>
        <v/>
      </c>
      <c r="CZ38" s="204" t="str">
        <f t="shared" si="14"/>
        <v/>
      </c>
      <c r="DA38" s="207" t="str">
        <f t="shared" si="14"/>
        <v/>
      </c>
    </row>
    <row r="39" spans="1:105" ht="14.4" customHeight="1" x14ac:dyDescent="0.3">
      <c r="A39" s="32">
        <v>3</v>
      </c>
      <c r="B39" s="344"/>
      <c r="C39" s="352"/>
      <c r="D39" s="328" t="s">
        <v>334</v>
      </c>
      <c r="E39" s="329"/>
      <c r="F39" s="329"/>
      <c r="G39" s="224" t="s">
        <v>290</v>
      </c>
      <c r="H39" s="221">
        <f t="shared" si="15"/>
        <v>0</v>
      </c>
      <c r="I39" s="254"/>
      <c r="J39" s="42" t="str">
        <f t="shared" si="5"/>
        <v/>
      </c>
      <c r="K39" s="42" t="str">
        <f t="shared" si="5"/>
        <v/>
      </c>
      <c r="L39" s="42" t="str">
        <f t="shared" si="5"/>
        <v/>
      </c>
      <c r="M39" s="42" t="str">
        <f t="shared" si="5"/>
        <v/>
      </c>
      <c r="N39" s="42" t="str">
        <f t="shared" si="5"/>
        <v/>
      </c>
      <c r="O39" s="42" t="str">
        <f t="shared" si="5"/>
        <v/>
      </c>
      <c r="P39" s="42" t="str">
        <f t="shared" si="5"/>
        <v/>
      </c>
      <c r="Q39" s="42" t="str">
        <f t="shared" si="5"/>
        <v/>
      </c>
      <c r="R39" s="42" t="str">
        <f t="shared" si="5"/>
        <v/>
      </c>
      <c r="S39" s="42" t="str">
        <f t="shared" si="5"/>
        <v/>
      </c>
      <c r="T39" s="42" t="str">
        <f t="shared" si="6"/>
        <v/>
      </c>
      <c r="U39" s="42" t="str">
        <f t="shared" si="6"/>
        <v/>
      </c>
      <c r="V39" s="42" t="str">
        <f t="shared" si="6"/>
        <v/>
      </c>
      <c r="W39" s="42" t="str">
        <f t="shared" si="6"/>
        <v/>
      </c>
      <c r="X39" s="42" t="str">
        <f t="shared" si="6"/>
        <v/>
      </c>
      <c r="Y39" s="42" t="str">
        <f t="shared" si="6"/>
        <v/>
      </c>
      <c r="Z39" s="42" t="str">
        <f t="shared" si="6"/>
        <v/>
      </c>
      <c r="AA39" s="42" t="str">
        <f t="shared" si="6"/>
        <v/>
      </c>
      <c r="AB39" s="42" t="str">
        <f t="shared" si="6"/>
        <v/>
      </c>
      <c r="AC39" s="42" t="str">
        <f t="shared" si="6"/>
        <v/>
      </c>
      <c r="AD39" s="42" t="str">
        <f t="shared" si="7"/>
        <v/>
      </c>
      <c r="AE39" s="42" t="str">
        <f t="shared" si="7"/>
        <v/>
      </c>
      <c r="AF39" s="42" t="str">
        <f t="shared" si="7"/>
        <v/>
      </c>
      <c r="AG39" s="42" t="str">
        <f t="shared" si="7"/>
        <v/>
      </c>
      <c r="AH39" s="42" t="str">
        <f t="shared" si="7"/>
        <v/>
      </c>
      <c r="AI39" s="42" t="str">
        <f t="shared" si="7"/>
        <v/>
      </c>
      <c r="AJ39" s="42" t="str">
        <f t="shared" si="7"/>
        <v/>
      </c>
      <c r="AK39" s="42" t="str">
        <f t="shared" si="7"/>
        <v/>
      </c>
      <c r="AL39" s="42" t="str">
        <f t="shared" si="7"/>
        <v/>
      </c>
      <c r="AM39" s="42" t="str">
        <f t="shared" si="7"/>
        <v/>
      </c>
      <c r="AN39" s="42" t="str">
        <f t="shared" si="8"/>
        <v/>
      </c>
      <c r="AO39" s="42" t="str">
        <f t="shared" si="8"/>
        <v/>
      </c>
      <c r="AP39" s="42" t="str">
        <f t="shared" si="8"/>
        <v/>
      </c>
      <c r="AQ39" s="42" t="str">
        <f t="shared" si="8"/>
        <v/>
      </c>
      <c r="AR39" s="42" t="str">
        <f t="shared" si="8"/>
        <v/>
      </c>
      <c r="AS39" s="42" t="str">
        <f t="shared" si="8"/>
        <v/>
      </c>
      <c r="AT39" s="42" t="str">
        <f t="shared" si="8"/>
        <v/>
      </c>
      <c r="AU39" s="42" t="str">
        <f t="shared" si="8"/>
        <v/>
      </c>
      <c r="AV39" s="42" t="str">
        <f t="shared" si="8"/>
        <v/>
      </c>
      <c r="AW39" s="42" t="str">
        <f t="shared" si="8"/>
        <v/>
      </c>
      <c r="AX39" s="42" t="str">
        <f t="shared" si="9"/>
        <v/>
      </c>
      <c r="AY39" s="42" t="str">
        <f t="shared" si="9"/>
        <v/>
      </c>
      <c r="AZ39" s="42" t="str">
        <f t="shared" si="9"/>
        <v/>
      </c>
      <c r="BA39" s="42" t="str">
        <f t="shared" si="9"/>
        <v/>
      </c>
      <c r="BB39" s="42" t="str">
        <f t="shared" si="9"/>
        <v/>
      </c>
      <c r="BC39" s="42" t="str">
        <f t="shared" si="9"/>
        <v/>
      </c>
      <c r="BD39" s="42" t="str">
        <f t="shared" si="9"/>
        <v/>
      </c>
      <c r="BE39" s="154" t="str">
        <f t="shared" si="9"/>
        <v/>
      </c>
      <c r="BF39" s="42" t="str">
        <f t="shared" si="9"/>
        <v/>
      </c>
      <c r="BG39" s="42" t="str">
        <f t="shared" si="9"/>
        <v/>
      </c>
      <c r="BH39" s="42" t="str">
        <f t="shared" si="10"/>
        <v/>
      </c>
      <c r="BI39" s="42" t="str">
        <f t="shared" si="10"/>
        <v/>
      </c>
      <c r="BJ39" s="42" t="str">
        <f t="shared" si="10"/>
        <v/>
      </c>
      <c r="BK39" s="42" t="str">
        <f t="shared" si="10"/>
        <v/>
      </c>
      <c r="BL39" s="42" t="str">
        <f t="shared" si="10"/>
        <v/>
      </c>
      <c r="BM39" s="42" t="str">
        <f t="shared" si="10"/>
        <v/>
      </c>
      <c r="BN39" s="42" t="str">
        <f t="shared" si="10"/>
        <v/>
      </c>
      <c r="BO39" s="42" t="str">
        <f t="shared" si="10"/>
        <v/>
      </c>
      <c r="BP39" s="42" t="str">
        <f t="shared" si="10"/>
        <v/>
      </c>
      <c r="BQ39" s="42" t="str">
        <f t="shared" si="10"/>
        <v/>
      </c>
      <c r="BR39" s="42" t="str">
        <f t="shared" si="11"/>
        <v/>
      </c>
      <c r="BS39" s="42" t="str">
        <f t="shared" si="11"/>
        <v/>
      </c>
      <c r="BT39" s="42" t="str">
        <f t="shared" si="11"/>
        <v/>
      </c>
      <c r="BU39" s="42" t="str">
        <f t="shared" si="11"/>
        <v/>
      </c>
      <c r="BV39" s="42" t="str">
        <f t="shared" si="11"/>
        <v/>
      </c>
      <c r="BW39" s="42" t="str">
        <f t="shared" si="11"/>
        <v/>
      </c>
      <c r="BX39" s="42" t="str">
        <f t="shared" si="11"/>
        <v/>
      </c>
      <c r="BY39" s="42" t="str">
        <f t="shared" si="11"/>
        <v/>
      </c>
      <c r="BZ39" s="42" t="str">
        <f t="shared" si="11"/>
        <v/>
      </c>
      <c r="CA39" s="42" t="str">
        <f t="shared" si="11"/>
        <v/>
      </c>
      <c r="CB39" s="42" t="str">
        <f t="shared" si="12"/>
        <v/>
      </c>
      <c r="CC39" s="42" t="str">
        <f t="shared" si="12"/>
        <v/>
      </c>
      <c r="CD39" s="42" t="str">
        <f t="shared" si="12"/>
        <v/>
      </c>
      <c r="CE39" s="42" t="str">
        <f t="shared" si="12"/>
        <v/>
      </c>
      <c r="CF39" s="42" t="str">
        <f t="shared" si="12"/>
        <v/>
      </c>
      <c r="CG39" s="42" t="str">
        <f t="shared" si="12"/>
        <v/>
      </c>
      <c r="CH39" s="42" t="str">
        <f t="shared" si="12"/>
        <v/>
      </c>
      <c r="CI39" s="42" t="str">
        <f t="shared" si="12"/>
        <v/>
      </c>
      <c r="CJ39" s="42" t="str">
        <f t="shared" si="12"/>
        <v/>
      </c>
      <c r="CK39" s="42" t="str">
        <f t="shared" si="12"/>
        <v/>
      </c>
      <c r="CL39" s="42" t="str">
        <f t="shared" si="13"/>
        <v/>
      </c>
      <c r="CM39" s="42" t="str">
        <f t="shared" si="13"/>
        <v/>
      </c>
      <c r="CN39" s="42" t="str">
        <f t="shared" si="13"/>
        <v/>
      </c>
      <c r="CO39" s="42" t="str">
        <f t="shared" si="13"/>
        <v/>
      </c>
      <c r="CP39" s="42" t="str">
        <f t="shared" si="13"/>
        <v/>
      </c>
      <c r="CQ39" s="42" t="str">
        <f t="shared" si="13"/>
        <v/>
      </c>
      <c r="CR39" s="42" t="str">
        <f t="shared" si="13"/>
        <v/>
      </c>
      <c r="CS39" s="42" t="str">
        <f t="shared" si="13"/>
        <v/>
      </c>
      <c r="CT39" s="42" t="str">
        <f t="shared" si="13"/>
        <v/>
      </c>
      <c r="CU39" s="42" t="str">
        <f t="shared" si="13"/>
        <v/>
      </c>
      <c r="CV39" s="42" t="str">
        <f t="shared" si="14"/>
        <v/>
      </c>
      <c r="CW39" s="42" t="str">
        <f t="shared" si="14"/>
        <v/>
      </c>
      <c r="CX39" s="42" t="str">
        <f t="shared" si="14"/>
        <v/>
      </c>
      <c r="CY39" s="42" t="str">
        <f t="shared" si="14"/>
        <v/>
      </c>
      <c r="CZ39" s="42" t="str">
        <f t="shared" si="14"/>
        <v/>
      </c>
      <c r="DA39" s="43" t="str">
        <f t="shared" si="14"/>
        <v/>
      </c>
    </row>
    <row r="40" spans="1:105" x14ac:dyDescent="0.3">
      <c r="A40" s="32">
        <v>3</v>
      </c>
      <c r="B40" s="344"/>
      <c r="C40" s="352"/>
      <c r="D40" s="326" t="s">
        <v>335</v>
      </c>
      <c r="E40" s="327"/>
      <c r="F40" s="327"/>
      <c r="G40" s="225"/>
      <c r="H40" s="223">
        <f t="shared" si="15"/>
        <v>0</v>
      </c>
      <c r="I40" s="253"/>
      <c r="J40" s="42" t="str">
        <f t="shared" si="5"/>
        <v/>
      </c>
      <c r="K40" s="42" t="str">
        <f t="shared" si="5"/>
        <v/>
      </c>
      <c r="L40" s="42" t="str">
        <f t="shared" si="5"/>
        <v/>
      </c>
      <c r="M40" s="42" t="str">
        <f t="shared" si="5"/>
        <v/>
      </c>
      <c r="N40" s="42" t="str">
        <f t="shared" si="5"/>
        <v/>
      </c>
      <c r="O40" s="42" t="str">
        <f t="shared" si="5"/>
        <v/>
      </c>
      <c r="P40" s="42" t="str">
        <f t="shared" si="5"/>
        <v/>
      </c>
      <c r="Q40" s="42" t="str">
        <f t="shared" si="5"/>
        <v/>
      </c>
      <c r="R40" s="42" t="str">
        <f t="shared" si="5"/>
        <v/>
      </c>
      <c r="S40" s="42" t="str">
        <f t="shared" si="5"/>
        <v/>
      </c>
      <c r="T40" s="42" t="str">
        <f t="shared" si="6"/>
        <v/>
      </c>
      <c r="U40" s="42" t="str">
        <f t="shared" si="6"/>
        <v/>
      </c>
      <c r="V40" s="42" t="str">
        <f t="shared" si="6"/>
        <v/>
      </c>
      <c r="W40" s="42" t="str">
        <f t="shared" si="6"/>
        <v/>
      </c>
      <c r="X40" s="42" t="str">
        <f t="shared" si="6"/>
        <v/>
      </c>
      <c r="Y40" s="42" t="str">
        <f t="shared" si="6"/>
        <v/>
      </c>
      <c r="Z40" s="42" t="str">
        <f t="shared" si="6"/>
        <v/>
      </c>
      <c r="AA40" s="42" t="str">
        <f t="shared" si="6"/>
        <v/>
      </c>
      <c r="AB40" s="42" t="str">
        <f t="shared" si="6"/>
        <v/>
      </c>
      <c r="AC40" s="42" t="str">
        <f t="shared" si="6"/>
        <v/>
      </c>
      <c r="AD40" s="42" t="str">
        <f t="shared" si="7"/>
        <v/>
      </c>
      <c r="AE40" s="42" t="str">
        <f t="shared" si="7"/>
        <v/>
      </c>
      <c r="AF40" s="42" t="str">
        <f t="shared" si="7"/>
        <v/>
      </c>
      <c r="AG40" s="42" t="str">
        <f t="shared" si="7"/>
        <v/>
      </c>
      <c r="AH40" s="42" t="str">
        <f t="shared" si="7"/>
        <v/>
      </c>
      <c r="AI40" s="42" t="str">
        <f t="shared" si="7"/>
        <v/>
      </c>
      <c r="AJ40" s="42" t="str">
        <f t="shared" si="7"/>
        <v/>
      </c>
      <c r="AK40" s="42" t="str">
        <f t="shared" si="7"/>
        <v/>
      </c>
      <c r="AL40" s="42" t="str">
        <f t="shared" si="7"/>
        <v/>
      </c>
      <c r="AM40" s="42" t="str">
        <f t="shared" si="7"/>
        <v/>
      </c>
      <c r="AN40" s="42" t="str">
        <f t="shared" si="8"/>
        <v/>
      </c>
      <c r="AO40" s="42" t="str">
        <f t="shared" si="8"/>
        <v/>
      </c>
      <c r="AP40" s="42" t="str">
        <f t="shared" si="8"/>
        <v/>
      </c>
      <c r="AQ40" s="42" t="str">
        <f t="shared" si="8"/>
        <v/>
      </c>
      <c r="AR40" s="42" t="str">
        <f t="shared" si="8"/>
        <v/>
      </c>
      <c r="AS40" s="42" t="str">
        <f t="shared" si="8"/>
        <v/>
      </c>
      <c r="AT40" s="42" t="str">
        <f t="shared" si="8"/>
        <v/>
      </c>
      <c r="AU40" s="42" t="str">
        <f t="shared" si="8"/>
        <v/>
      </c>
      <c r="AV40" s="42" t="str">
        <f t="shared" si="8"/>
        <v/>
      </c>
      <c r="AW40" s="42" t="str">
        <f t="shared" si="8"/>
        <v/>
      </c>
      <c r="AX40" s="42" t="str">
        <f t="shared" si="9"/>
        <v/>
      </c>
      <c r="AY40" s="42" t="str">
        <f t="shared" si="9"/>
        <v/>
      </c>
      <c r="AZ40" s="42" t="str">
        <f t="shared" si="9"/>
        <v/>
      </c>
      <c r="BA40" s="42" t="str">
        <f t="shared" si="9"/>
        <v/>
      </c>
      <c r="BB40" s="42" t="str">
        <f t="shared" si="9"/>
        <v/>
      </c>
      <c r="BC40" s="42" t="str">
        <f t="shared" si="9"/>
        <v/>
      </c>
      <c r="BD40" s="42" t="str">
        <f t="shared" si="9"/>
        <v/>
      </c>
      <c r="BE40" s="154" t="str">
        <f t="shared" si="9"/>
        <v/>
      </c>
      <c r="BF40" s="42" t="str">
        <f t="shared" si="9"/>
        <v/>
      </c>
      <c r="BG40" s="42" t="str">
        <f t="shared" si="9"/>
        <v/>
      </c>
      <c r="BH40" s="42" t="str">
        <f t="shared" si="10"/>
        <v/>
      </c>
      <c r="BI40" s="42" t="str">
        <f t="shared" si="10"/>
        <v/>
      </c>
      <c r="BJ40" s="42" t="str">
        <f t="shared" si="10"/>
        <v/>
      </c>
      <c r="BK40" s="42" t="str">
        <f t="shared" si="10"/>
        <v/>
      </c>
      <c r="BL40" s="42" t="str">
        <f t="shared" si="10"/>
        <v/>
      </c>
      <c r="BM40" s="42" t="str">
        <f t="shared" si="10"/>
        <v/>
      </c>
      <c r="BN40" s="42" t="str">
        <f t="shared" si="10"/>
        <v/>
      </c>
      <c r="BO40" s="42" t="str">
        <f t="shared" si="10"/>
        <v/>
      </c>
      <c r="BP40" s="42" t="str">
        <f t="shared" si="10"/>
        <v/>
      </c>
      <c r="BQ40" s="42" t="str">
        <f t="shared" si="10"/>
        <v/>
      </c>
      <c r="BR40" s="42" t="str">
        <f t="shared" si="11"/>
        <v/>
      </c>
      <c r="BS40" s="42" t="str">
        <f t="shared" si="11"/>
        <v/>
      </c>
      <c r="BT40" s="42" t="str">
        <f t="shared" si="11"/>
        <v/>
      </c>
      <c r="BU40" s="42" t="str">
        <f t="shared" si="11"/>
        <v/>
      </c>
      <c r="BV40" s="42" t="str">
        <f t="shared" si="11"/>
        <v/>
      </c>
      <c r="BW40" s="42" t="str">
        <f t="shared" si="11"/>
        <v/>
      </c>
      <c r="BX40" s="42" t="str">
        <f t="shared" si="11"/>
        <v/>
      </c>
      <c r="BY40" s="42" t="str">
        <f t="shared" si="11"/>
        <v/>
      </c>
      <c r="BZ40" s="42" t="str">
        <f t="shared" si="11"/>
        <v/>
      </c>
      <c r="CA40" s="42" t="str">
        <f t="shared" si="11"/>
        <v/>
      </c>
      <c r="CB40" s="42" t="str">
        <f t="shared" si="12"/>
        <v/>
      </c>
      <c r="CC40" s="42" t="str">
        <f t="shared" si="12"/>
        <v/>
      </c>
      <c r="CD40" s="42" t="str">
        <f t="shared" si="12"/>
        <v/>
      </c>
      <c r="CE40" s="42" t="str">
        <f t="shared" si="12"/>
        <v/>
      </c>
      <c r="CF40" s="42" t="str">
        <f t="shared" si="12"/>
        <v/>
      </c>
      <c r="CG40" s="42" t="str">
        <f t="shared" si="12"/>
        <v/>
      </c>
      <c r="CH40" s="42" t="str">
        <f t="shared" si="12"/>
        <v/>
      </c>
      <c r="CI40" s="42" t="str">
        <f t="shared" si="12"/>
        <v/>
      </c>
      <c r="CJ40" s="42" t="str">
        <f t="shared" si="12"/>
        <v/>
      </c>
      <c r="CK40" s="42" t="str">
        <f t="shared" si="12"/>
        <v/>
      </c>
      <c r="CL40" s="42" t="str">
        <f t="shared" si="13"/>
        <v/>
      </c>
      <c r="CM40" s="42" t="str">
        <f t="shared" si="13"/>
        <v/>
      </c>
      <c r="CN40" s="42" t="str">
        <f t="shared" si="13"/>
        <v/>
      </c>
      <c r="CO40" s="42" t="str">
        <f t="shared" si="13"/>
        <v/>
      </c>
      <c r="CP40" s="42" t="str">
        <f t="shared" si="13"/>
        <v/>
      </c>
      <c r="CQ40" s="42" t="str">
        <f t="shared" si="13"/>
        <v/>
      </c>
      <c r="CR40" s="42" t="str">
        <f t="shared" si="13"/>
        <v/>
      </c>
      <c r="CS40" s="42" t="str">
        <f t="shared" si="13"/>
        <v/>
      </c>
      <c r="CT40" s="42" t="str">
        <f t="shared" si="13"/>
        <v/>
      </c>
      <c r="CU40" s="42" t="str">
        <f t="shared" si="13"/>
        <v/>
      </c>
      <c r="CV40" s="42" t="str">
        <f t="shared" si="14"/>
        <v/>
      </c>
      <c r="CW40" s="42" t="str">
        <f t="shared" si="14"/>
        <v/>
      </c>
      <c r="CX40" s="42" t="str">
        <f t="shared" si="14"/>
        <v/>
      </c>
      <c r="CY40" s="42" t="str">
        <f t="shared" si="14"/>
        <v/>
      </c>
      <c r="CZ40" s="42" t="str">
        <f t="shared" si="14"/>
        <v/>
      </c>
      <c r="DA40" s="43" t="str">
        <f t="shared" si="14"/>
        <v/>
      </c>
    </row>
    <row r="41" spans="1:105" ht="14.4" hidden="1" customHeight="1" outlineLevel="2" x14ac:dyDescent="0.3">
      <c r="A41" s="32">
        <v>3</v>
      </c>
      <c r="B41" s="344"/>
      <c r="C41" s="352"/>
      <c r="D41" s="342" t="s">
        <v>337</v>
      </c>
      <c r="E41" s="343"/>
      <c r="F41" s="343"/>
      <c r="G41" s="218" t="s">
        <v>290</v>
      </c>
      <c r="H41" s="222">
        <f t="shared" si="15"/>
        <v>0</v>
      </c>
      <c r="I41" s="252"/>
      <c r="J41" s="42" t="str">
        <f t="shared" si="5"/>
        <v/>
      </c>
      <c r="K41" s="42" t="str">
        <f t="shared" si="5"/>
        <v/>
      </c>
      <c r="L41" s="42" t="str">
        <f t="shared" si="5"/>
        <v/>
      </c>
      <c r="M41" s="42" t="str">
        <f t="shared" si="5"/>
        <v/>
      </c>
      <c r="N41" s="42" t="str">
        <f t="shared" si="5"/>
        <v/>
      </c>
      <c r="O41" s="42" t="str">
        <f t="shared" si="5"/>
        <v/>
      </c>
      <c r="P41" s="42" t="str">
        <f t="shared" si="5"/>
        <v/>
      </c>
      <c r="Q41" s="42" t="str">
        <f t="shared" si="5"/>
        <v/>
      </c>
      <c r="R41" s="42" t="str">
        <f t="shared" si="5"/>
        <v/>
      </c>
      <c r="S41" s="42" t="str">
        <f t="shared" si="5"/>
        <v/>
      </c>
      <c r="T41" s="42" t="str">
        <f t="shared" si="6"/>
        <v/>
      </c>
      <c r="U41" s="42" t="str">
        <f t="shared" si="6"/>
        <v/>
      </c>
      <c r="V41" s="42" t="str">
        <f t="shared" si="6"/>
        <v/>
      </c>
      <c r="W41" s="42" t="str">
        <f t="shared" si="6"/>
        <v/>
      </c>
      <c r="X41" s="42" t="str">
        <f t="shared" si="6"/>
        <v/>
      </c>
      <c r="Y41" s="42" t="str">
        <f t="shared" si="6"/>
        <v/>
      </c>
      <c r="Z41" s="42" t="str">
        <f t="shared" si="6"/>
        <v/>
      </c>
      <c r="AA41" s="42" t="str">
        <f t="shared" si="6"/>
        <v/>
      </c>
      <c r="AB41" s="42" t="str">
        <f t="shared" si="6"/>
        <v/>
      </c>
      <c r="AC41" s="42" t="str">
        <f t="shared" si="6"/>
        <v/>
      </c>
      <c r="AD41" s="42" t="str">
        <f t="shared" si="7"/>
        <v/>
      </c>
      <c r="AE41" s="42" t="str">
        <f t="shared" si="7"/>
        <v/>
      </c>
      <c r="AF41" s="42" t="str">
        <f t="shared" si="7"/>
        <v/>
      </c>
      <c r="AG41" s="42" t="str">
        <f t="shared" si="7"/>
        <v/>
      </c>
      <c r="AH41" s="42" t="str">
        <f t="shared" si="7"/>
        <v/>
      </c>
      <c r="AI41" s="42" t="str">
        <f t="shared" si="7"/>
        <v/>
      </c>
      <c r="AJ41" s="42" t="str">
        <f t="shared" si="7"/>
        <v/>
      </c>
      <c r="AK41" s="42" t="str">
        <f t="shared" si="7"/>
        <v/>
      </c>
      <c r="AL41" s="42" t="str">
        <f t="shared" si="7"/>
        <v/>
      </c>
      <c r="AM41" s="42" t="str">
        <f t="shared" si="7"/>
        <v/>
      </c>
      <c r="AN41" s="42" t="str">
        <f t="shared" si="8"/>
        <v/>
      </c>
      <c r="AO41" s="42" t="str">
        <f t="shared" si="8"/>
        <v/>
      </c>
      <c r="AP41" s="42" t="str">
        <f t="shared" si="8"/>
        <v/>
      </c>
      <c r="AQ41" s="42" t="str">
        <f t="shared" si="8"/>
        <v/>
      </c>
      <c r="AR41" s="42" t="str">
        <f t="shared" si="8"/>
        <v/>
      </c>
      <c r="AS41" s="42" t="str">
        <f t="shared" si="8"/>
        <v/>
      </c>
      <c r="AT41" s="42" t="str">
        <f t="shared" si="8"/>
        <v/>
      </c>
      <c r="AU41" s="42" t="str">
        <f t="shared" si="8"/>
        <v/>
      </c>
      <c r="AV41" s="42" t="str">
        <f t="shared" si="8"/>
        <v/>
      </c>
      <c r="AW41" s="42" t="str">
        <f t="shared" si="8"/>
        <v/>
      </c>
      <c r="AX41" s="42" t="str">
        <f t="shared" si="9"/>
        <v/>
      </c>
      <c r="AY41" s="42" t="str">
        <f t="shared" si="9"/>
        <v/>
      </c>
      <c r="AZ41" s="42" t="str">
        <f t="shared" si="9"/>
        <v/>
      </c>
      <c r="BA41" s="42" t="str">
        <f t="shared" si="9"/>
        <v/>
      </c>
      <c r="BB41" s="42" t="str">
        <f t="shared" si="9"/>
        <v/>
      </c>
      <c r="BC41" s="42" t="str">
        <f t="shared" si="9"/>
        <v/>
      </c>
      <c r="BD41" s="42" t="str">
        <f t="shared" si="9"/>
        <v/>
      </c>
      <c r="BE41" s="154" t="str">
        <f t="shared" si="9"/>
        <v/>
      </c>
      <c r="BF41" s="42" t="str">
        <f t="shared" si="9"/>
        <v/>
      </c>
      <c r="BG41" s="42" t="str">
        <f t="shared" si="9"/>
        <v/>
      </c>
      <c r="BH41" s="42" t="str">
        <f t="shared" si="10"/>
        <v/>
      </c>
      <c r="BI41" s="42" t="str">
        <f t="shared" si="10"/>
        <v/>
      </c>
      <c r="BJ41" s="42" t="str">
        <f t="shared" si="10"/>
        <v/>
      </c>
      <c r="BK41" s="42" t="str">
        <f t="shared" si="10"/>
        <v/>
      </c>
      <c r="BL41" s="42" t="str">
        <f t="shared" si="10"/>
        <v/>
      </c>
      <c r="BM41" s="42" t="str">
        <f t="shared" si="10"/>
        <v/>
      </c>
      <c r="BN41" s="42" t="str">
        <f t="shared" si="10"/>
        <v/>
      </c>
      <c r="BO41" s="42" t="str">
        <f t="shared" si="10"/>
        <v/>
      </c>
      <c r="BP41" s="42" t="str">
        <f t="shared" si="10"/>
        <v/>
      </c>
      <c r="BQ41" s="42" t="str">
        <f t="shared" si="10"/>
        <v/>
      </c>
      <c r="BR41" s="42" t="str">
        <f t="shared" si="11"/>
        <v/>
      </c>
      <c r="BS41" s="42" t="str">
        <f t="shared" si="11"/>
        <v/>
      </c>
      <c r="BT41" s="42" t="str">
        <f t="shared" si="11"/>
        <v/>
      </c>
      <c r="BU41" s="42" t="str">
        <f t="shared" si="11"/>
        <v/>
      </c>
      <c r="BV41" s="42" t="str">
        <f t="shared" si="11"/>
        <v/>
      </c>
      <c r="BW41" s="42" t="str">
        <f t="shared" si="11"/>
        <v/>
      </c>
      <c r="BX41" s="42" t="str">
        <f t="shared" si="11"/>
        <v/>
      </c>
      <c r="BY41" s="42" t="str">
        <f t="shared" si="11"/>
        <v/>
      </c>
      <c r="BZ41" s="42" t="str">
        <f t="shared" si="11"/>
        <v/>
      </c>
      <c r="CA41" s="42" t="str">
        <f t="shared" si="11"/>
        <v/>
      </c>
      <c r="CB41" s="42" t="str">
        <f t="shared" si="12"/>
        <v/>
      </c>
      <c r="CC41" s="42" t="str">
        <f t="shared" si="12"/>
        <v/>
      </c>
      <c r="CD41" s="42" t="str">
        <f t="shared" si="12"/>
        <v/>
      </c>
      <c r="CE41" s="42" t="str">
        <f t="shared" si="12"/>
        <v/>
      </c>
      <c r="CF41" s="42" t="str">
        <f t="shared" si="12"/>
        <v/>
      </c>
      <c r="CG41" s="42" t="str">
        <f t="shared" si="12"/>
        <v/>
      </c>
      <c r="CH41" s="42" t="str">
        <f t="shared" si="12"/>
        <v/>
      </c>
      <c r="CI41" s="42" t="str">
        <f t="shared" si="12"/>
        <v/>
      </c>
      <c r="CJ41" s="42" t="str">
        <f t="shared" si="12"/>
        <v/>
      </c>
      <c r="CK41" s="42" t="str">
        <f t="shared" si="12"/>
        <v/>
      </c>
      <c r="CL41" s="42" t="str">
        <f t="shared" si="13"/>
        <v/>
      </c>
      <c r="CM41" s="42" t="str">
        <f t="shared" si="13"/>
        <v/>
      </c>
      <c r="CN41" s="42" t="str">
        <f t="shared" si="13"/>
        <v/>
      </c>
      <c r="CO41" s="42" t="str">
        <f t="shared" si="13"/>
        <v/>
      </c>
      <c r="CP41" s="42" t="str">
        <f t="shared" si="13"/>
        <v/>
      </c>
      <c r="CQ41" s="42" t="str">
        <f t="shared" si="13"/>
        <v/>
      </c>
      <c r="CR41" s="42" t="str">
        <f t="shared" si="13"/>
        <v/>
      </c>
      <c r="CS41" s="42" t="str">
        <f t="shared" si="13"/>
        <v/>
      </c>
      <c r="CT41" s="42" t="str">
        <f t="shared" si="13"/>
        <v/>
      </c>
      <c r="CU41" s="42" t="str">
        <f t="shared" si="13"/>
        <v/>
      </c>
      <c r="CV41" s="42" t="str">
        <f t="shared" si="14"/>
        <v/>
      </c>
      <c r="CW41" s="42" t="str">
        <f t="shared" si="14"/>
        <v/>
      </c>
      <c r="CX41" s="42" t="str">
        <f t="shared" si="14"/>
        <v/>
      </c>
      <c r="CY41" s="42" t="str">
        <f t="shared" si="14"/>
        <v/>
      </c>
      <c r="CZ41" s="42" t="str">
        <f t="shared" si="14"/>
        <v/>
      </c>
      <c r="DA41" s="43" t="str">
        <f t="shared" si="14"/>
        <v/>
      </c>
    </row>
    <row r="42" spans="1:105" hidden="1" outlineLevel="2" x14ac:dyDescent="0.3">
      <c r="A42" s="32">
        <v>3</v>
      </c>
      <c r="B42" s="344"/>
      <c r="C42" s="352"/>
      <c r="D42" s="273" t="s">
        <v>336</v>
      </c>
      <c r="E42" s="274"/>
      <c r="F42" s="274"/>
      <c r="G42" s="78"/>
      <c r="H42" s="222">
        <f t="shared" si="15"/>
        <v>0</v>
      </c>
      <c r="I42" s="252"/>
      <c r="J42" s="42" t="str">
        <f t="shared" si="5"/>
        <v/>
      </c>
      <c r="K42" s="42" t="str">
        <f t="shared" si="5"/>
        <v/>
      </c>
      <c r="L42" s="42" t="str">
        <f t="shared" si="5"/>
        <v/>
      </c>
      <c r="M42" s="42" t="str">
        <f t="shared" si="5"/>
        <v/>
      </c>
      <c r="N42" s="42" t="str">
        <f t="shared" si="5"/>
        <v/>
      </c>
      <c r="O42" s="42" t="str">
        <f t="shared" si="5"/>
        <v/>
      </c>
      <c r="P42" s="42" t="str">
        <f t="shared" si="5"/>
        <v/>
      </c>
      <c r="Q42" s="42" t="str">
        <f t="shared" si="5"/>
        <v/>
      </c>
      <c r="R42" s="42" t="str">
        <f t="shared" si="5"/>
        <v/>
      </c>
      <c r="S42" s="42" t="str">
        <f t="shared" si="5"/>
        <v/>
      </c>
      <c r="T42" s="42" t="str">
        <f t="shared" si="6"/>
        <v/>
      </c>
      <c r="U42" s="42" t="str">
        <f t="shared" si="6"/>
        <v/>
      </c>
      <c r="V42" s="42" t="str">
        <f t="shared" si="6"/>
        <v/>
      </c>
      <c r="W42" s="42" t="str">
        <f t="shared" si="6"/>
        <v/>
      </c>
      <c r="X42" s="42" t="str">
        <f t="shared" si="6"/>
        <v/>
      </c>
      <c r="Y42" s="42" t="str">
        <f t="shared" si="6"/>
        <v/>
      </c>
      <c r="Z42" s="42" t="str">
        <f t="shared" si="6"/>
        <v/>
      </c>
      <c r="AA42" s="42" t="str">
        <f t="shared" si="6"/>
        <v/>
      </c>
      <c r="AB42" s="42" t="str">
        <f t="shared" si="6"/>
        <v/>
      </c>
      <c r="AC42" s="42" t="str">
        <f t="shared" si="6"/>
        <v/>
      </c>
      <c r="AD42" s="42" t="str">
        <f t="shared" si="7"/>
        <v/>
      </c>
      <c r="AE42" s="42" t="str">
        <f t="shared" si="7"/>
        <v/>
      </c>
      <c r="AF42" s="42" t="str">
        <f t="shared" si="7"/>
        <v/>
      </c>
      <c r="AG42" s="42" t="str">
        <f t="shared" si="7"/>
        <v/>
      </c>
      <c r="AH42" s="42" t="str">
        <f t="shared" si="7"/>
        <v/>
      </c>
      <c r="AI42" s="42" t="str">
        <f t="shared" si="7"/>
        <v/>
      </c>
      <c r="AJ42" s="42" t="str">
        <f t="shared" si="7"/>
        <v/>
      </c>
      <c r="AK42" s="42" t="str">
        <f t="shared" si="7"/>
        <v/>
      </c>
      <c r="AL42" s="42" t="str">
        <f t="shared" si="7"/>
        <v/>
      </c>
      <c r="AM42" s="42" t="str">
        <f t="shared" si="7"/>
        <v/>
      </c>
      <c r="AN42" s="42" t="str">
        <f t="shared" si="8"/>
        <v/>
      </c>
      <c r="AO42" s="42" t="str">
        <f t="shared" si="8"/>
        <v/>
      </c>
      <c r="AP42" s="42" t="str">
        <f t="shared" si="8"/>
        <v/>
      </c>
      <c r="AQ42" s="42" t="str">
        <f t="shared" si="8"/>
        <v/>
      </c>
      <c r="AR42" s="42" t="str">
        <f t="shared" si="8"/>
        <v/>
      </c>
      <c r="AS42" s="42" t="str">
        <f t="shared" si="8"/>
        <v/>
      </c>
      <c r="AT42" s="42" t="str">
        <f t="shared" si="8"/>
        <v/>
      </c>
      <c r="AU42" s="42" t="str">
        <f t="shared" si="8"/>
        <v/>
      </c>
      <c r="AV42" s="42" t="str">
        <f t="shared" si="8"/>
        <v/>
      </c>
      <c r="AW42" s="42" t="str">
        <f t="shared" si="8"/>
        <v/>
      </c>
      <c r="AX42" s="42" t="str">
        <f t="shared" si="9"/>
        <v/>
      </c>
      <c r="AY42" s="42" t="str">
        <f t="shared" si="9"/>
        <v/>
      </c>
      <c r="AZ42" s="42" t="str">
        <f t="shared" si="9"/>
        <v/>
      </c>
      <c r="BA42" s="42" t="str">
        <f t="shared" si="9"/>
        <v/>
      </c>
      <c r="BB42" s="42" t="str">
        <f t="shared" si="9"/>
        <v/>
      </c>
      <c r="BC42" s="42" t="str">
        <f t="shared" si="9"/>
        <v/>
      </c>
      <c r="BD42" s="42" t="str">
        <f t="shared" si="9"/>
        <v/>
      </c>
      <c r="BE42" s="154" t="str">
        <f t="shared" si="9"/>
        <v/>
      </c>
      <c r="BF42" s="42" t="str">
        <f t="shared" si="9"/>
        <v/>
      </c>
      <c r="BG42" s="42" t="str">
        <f t="shared" si="9"/>
        <v/>
      </c>
      <c r="BH42" s="42" t="str">
        <f t="shared" si="10"/>
        <v/>
      </c>
      <c r="BI42" s="42" t="str">
        <f t="shared" si="10"/>
        <v/>
      </c>
      <c r="BJ42" s="42" t="str">
        <f t="shared" si="10"/>
        <v/>
      </c>
      <c r="BK42" s="42" t="str">
        <f t="shared" si="10"/>
        <v/>
      </c>
      <c r="BL42" s="42" t="str">
        <f t="shared" si="10"/>
        <v/>
      </c>
      <c r="BM42" s="42" t="str">
        <f t="shared" si="10"/>
        <v/>
      </c>
      <c r="BN42" s="42" t="str">
        <f t="shared" si="10"/>
        <v/>
      </c>
      <c r="BO42" s="42" t="str">
        <f t="shared" si="10"/>
        <v/>
      </c>
      <c r="BP42" s="42" t="str">
        <f t="shared" si="10"/>
        <v/>
      </c>
      <c r="BQ42" s="42" t="str">
        <f t="shared" si="10"/>
        <v/>
      </c>
      <c r="BR42" s="42" t="str">
        <f t="shared" si="11"/>
        <v/>
      </c>
      <c r="BS42" s="42" t="str">
        <f t="shared" si="11"/>
        <v/>
      </c>
      <c r="BT42" s="42" t="str">
        <f t="shared" si="11"/>
        <v/>
      </c>
      <c r="BU42" s="42" t="str">
        <f t="shared" si="11"/>
        <v/>
      </c>
      <c r="BV42" s="42" t="str">
        <f t="shared" si="11"/>
        <v/>
      </c>
      <c r="BW42" s="42" t="str">
        <f t="shared" si="11"/>
        <v/>
      </c>
      <c r="BX42" s="42" t="str">
        <f t="shared" si="11"/>
        <v/>
      </c>
      <c r="BY42" s="42" t="str">
        <f t="shared" si="11"/>
        <v/>
      </c>
      <c r="BZ42" s="42" t="str">
        <f t="shared" si="11"/>
        <v/>
      </c>
      <c r="CA42" s="42" t="str">
        <f t="shared" si="11"/>
        <v/>
      </c>
      <c r="CB42" s="42" t="str">
        <f t="shared" si="12"/>
        <v/>
      </c>
      <c r="CC42" s="42" t="str">
        <f t="shared" si="12"/>
        <v/>
      </c>
      <c r="CD42" s="42" t="str">
        <f t="shared" si="12"/>
        <v/>
      </c>
      <c r="CE42" s="42" t="str">
        <f t="shared" si="12"/>
        <v/>
      </c>
      <c r="CF42" s="42" t="str">
        <f t="shared" si="12"/>
        <v/>
      </c>
      <c r="CG42" s="42" t="str">
        <f t="shared" si="12"/>
        <v/>
      </c>
      <c r="CH42" s="42" t="str">
        <f t="shared" si="12"/>
        <v/>
      </c>
      <c r="CI42" s="42" t="str">
        <f t="shared" si="12"/>
        <v/>
      </c>
      <c r="CJ42" s="42" t="str">
        <f t="shared" si="12"/>
        <v/>
      </c>
      <c r="CK42" s="42" t="str">
        <f t="shared" si="12"/>
        <v/>
      </c>
      <c r="CL42" s="42" t="str">
        <f t="shared" si="13"/>
        <v/>
      </c>
      <c r="CM42" s="42" t="str">
        <f t="shared" si="13"/>
        <v/>
      </c>
      <c r="CN42" s="42" t="str">
        <f t="shared" si="13"/>
        <v/>
      </c>
      <c r="CO42" s="42" t="str">
        <f t="shared" si="13"/>
        <v/>
      </c>
      <c r="CP42" s="42" t="str">
        <f t="shared" si="13"/>
        <v/>
      </c>
      <c r="CQ42" s="42" t="str">
        <f t="shared" si="13"/>
        <v/>
      </c>
      <c r="CR42" s="42" t="str">
        <f t="shared" si="13"/>
        <v/>
      </c>
      <c r="CS42" s="42" t="str">
        <f t="shared" si="13"/>
        <v/>
      </c>
      <c r="CT42" s="42" t="str">
        <f t="shared" si="13"/>
        <v/>
      </c>
      <c r="CU42" s="42" t="str">
        <f t="shared" si="13"/>
        <v/>
      </c>
      <c r="CV42" s="42" t="str">
        <f t="shared" si="14"/>
        <v/>
      </c>
      <c r="CW42" s="42" t="str">
        <f t="shared" si="14"/>
        <v/>
      </c>
      <c r="CX42" s="42" t="str">
        <f t="shared" si="14"/>
        <v/>
      </c>
      <c r="CY42" s="42" t="str">
        <f t="shared" si="14"/>
        <v/>
      </c>
      <c r="CZ42" s="42" t="str">
        <f t="shared" si="14"/>
        <v/>
      </c>
      <c r="DA42" s="43" t="str">
        <f t="shared" si="14"/>
        <v/>
      </c>
    </row>
    <row r="43" spans="1:105" ht="14.4" hidden="1" customHeight="1" outlineLevel="1" collapsed="1" x14ac:dyDescent="0.3">
      <c r="A43" s="32">
        <v>3</v>
      </c>
      <c r="B43" s="344"/>
      <c r="C43" s="352"/>
      <c r="D43" s="342" t="s">
        <v>338</v>
      </c>
      <c r="E43" s="343"/>
      <c r="F43" s="343"/>
      <c r="G43" s="218" t="s">
        <v>290</v>
      </c>
      <c r="H43" s="222">
        <f t="shared" si="15"/>
        <v>0</v>
      </c>
      <c r="I43" s="252"/>
      <c r="J43" s="42" t="str">
        <f t="shared" si="5"/>
        <v/>
      </c>
      <c r="K43" s="42" t="str">
        <f t="shared" si="5"/>
        <v/>
      </c>
      <c r="L43" s="42" t="str">
        <f t="shared" si="5"/>
        <v/>
      </c>
      <c r="M43" s="42" t="str">
        <f t="shared" si="5"/>
        <v/>
      </c>
      <c r="N43" s="42" t="str">
        <f t="shared" si="5"/>
        <v/>
      </c>
      <c r="O43" s="42" t="str">
        <f t="shared" si="5"/>
        <v/>
      </c>
      <c r="P43" s="42" t="str">
        <f t="shared" si="5"/>
        <v/>
      </c>
      <c r="Q43" s="42" t="str">
        <f t="shared" si="5"/>
        <v/>
      </c>
      <c r="R43" s="42" t="str">
        <f t="shared" si="5"/>
        <v/>
      </c>
      <c r="S43" s="42" t="str">
        <f t="shared" si="5"/>
        <v/>
      </c>
      <c r="T43" s="42" t="str">
        <f t="shared" si="6"/>
        <v/>
      </c>
      <c r="U43" s="42" t="str">
        <f t="shared" si="6"/>
        <v/>
      </c>
      <c r="V43" s="42" t="str">
        <f t="shared" si="6"/>
        <v/>
      </c>
      <c r="W43" s="42" t="str">
        <f t="shared" si="6"/>
        <v/>
      </c>
      <c r="X43" s="42" t="str">
        <f t="shared" si="6"/>
        <v/>
      </c>
      <c r="Y43" s="42" t="str">
        <f t="shared" si="6"/>
        <v/>
      </c>
      <c r="Z43" s="42" t="str">
        <f t="shared" si="6"/>
        <v/>
      </c>
      <c r="AA43" s="42" t="str">
        <f t="shared" si="6"/>
        <v/>
      </c>
      <c r="AB43" s="42" t="str">
        <f t="shared" si="6"/>
        <v/>
      </c>
      <c r="AC43" s="42" t="str">
        <f t="shared" si="6"/>
        <v/>
      </c>
      <c r="AD43" s="42" t="str">
        <f t="shared" si="7"/>
        <v/>
      </c>
      <c r="AE43" s="42" t="str">
        <f t="shared" si="7"/>
        <v/>
      </c>
      <c r="AF43" s="42" t="str">
        <f t="shared" si="7"/>
        <v/>
      </c>
      <c r="AG43" s="42" t="str">
        <f t="shared" si="7"/>
        <v/>
      </c>
      <c r="AH43" s="42" t="str">
        <f t="shared" si="7"/>
        <v/>
      </c>
      <c r="AI43" s="42" t="str">
        <f t="shared" si="7"/>
        <v/>
      </c>
      <c r="AJ43" s="42" t="str">
        <f t="shared" si="7"/>
        <v/>
      </c>
      <c r="AK43" s="42" t="str">
        <f t="shared" si="7"/>
        <v/>
      </c>
      <c r="AL43" s="42" t="str">
        <f t="shared" si="7"/>
        <v/>
      </c>
      <c r="AM43" s="42" t="str">
        <f t="shared" si="7"/>
        <v/>
      </c>
      <c r="AN43" s="42" t="str">
        <f t="shared" si="8"/>
        <v/>
      </c>
      <c r="AO43" s="42" t="str">
        <f t="shared" si="8"/>
        <v/>
      </c>
      <c r="AP43" s="42" t="str">
        <f t="shared" si="8"/>
        <v/>
      </c>
      <c r="AQ43" s="42" t="str">
        <f t="shared" si="8"/>
        <v/>
      </c>
      <c r="AR43" s="42" t="str">
        <f t="shared" si="8"/>
        <v/>
      </c>
      <c r="AS43" s="42" t="str">
        <f t="shared" si="8"/>
        <v/>
      </c>
      <c r="AT43" s="42" t="str">
        <f t="shared" si="8"/>
        <v/>
      </c>
      <c r="AU43" s="42" t="str">
        <f t="shared" si="8"/>
        <v/>
      </c>
      <c r="AV43" s="42" t="str">
        <f t="shared" si="8"/>
        <v/>
      </c>
      <c r="AW43" s="42" t="str">
        <f t="shared" si="8"/>
        <v/>
      </c>
      <c r="AX43" s="42" t="str">
        <f t="shared" si="9"/>
        <v/>
      </c>
      <c r="AY43" s="42" t="str">
        <f t="shared" si="9"/>
        <v/>
      </c>
      <c r="AZ43" s="42" t="str">
        <f t="shared" si="9"/>
        <v/>
      </c>
      <c r="BA43" s="42" t="str">
        <f t="shared" si="9"/>
        <v/>
      </c>
      <c r="BB43" s="42" t="str">
        <f t="shared" si="9"/>
        <v/>
      </c>
      <c r="BC43" s="42" t="str">
        <f t="shared" si="9"/>
        <v/>
      </c>
      <c r="BD43" s="42" t="str">
        <f t="shared" si="9"/>
        <v/>
      </c>
      <c r="BE43" s="154" t="str">
        <f t="shared" si="9"/>
        <v/>
      </c>
      <c r="BF43" s="42" t="str">
        <f t="shared" si="9"/>
        <v/>
      </c>
      <c r="BG43" s="42" t="str">
        <f t="shared" si="9"/>
        <v/>
      </c>
      <c r="BH43" s="42" t="str">
        <f t="shared" si="10"/>
        <v/>
      </c>
      <c r="BI43" s="42" t="str">
        <f t="shared" si="10"/>
        <v/>
      </c>
      <c r="BJ43" s="42" t="str">
        <f t="shared" si="10"/>
        <v/>
      </c>
      <c r="BK43" s="42" t="str">
        <f t="shared" si="10"/>
        <v/>
      </c>
      <c r="BL43" s="42" t="str">
        <f t="shared" si="10"/>
        <v/>
      </c>
      <c r="BM43" s="42" t="str">
        <f t="shared" si="10"/>
        <v/>
      </c>
      <c r="BN43" s="42" t="str">
        <f t="shared" si="10"/>
        <v/>
      </c>
      <c r="BO43" s="42" t="str">
        <f t="shared" si="10"/>
        <v/>
      </c>
      <c r="BP43" s="42" t="str">
        <f t="shared" si="10"/>
        <v/>
      </c>
      <c r="BQ43" s="42" t="str">
        <f t="shared" si="10"/>
        <v/>
      </c>
      <c r="BR43" s="42" t="str">
        <f t="shared" si="11"/>
        <v/>
      </c>
      <c r="BS43" s="42" t="str">
        <f t="shared" si="11"/>
        <v/>
      </c>
      <c r="BT43" s="42" t="str">
        <f t="shared" si="11"/>
        <v/>
      </c>
      <c r="BU43" s="42" t="str">
        <f t="shared" si="11"/>
        <v/>
      </c>
      <c r="BV43" s="42" t="str">
        <f t="shared" si="11"/>
        <v/>
      </c>
      <c r="BW43" s="42" t="str">
        <f t="shared" si="11"/>
        <v/>
      </c>
      <c r="BX43" s="42" t="str">
        <f t="shared" si="11"/>
        <v/>
      </c>
      <c r="BY43" s="42" t="str">
        <f t="shared" si="11"/>
        <v/>
      </c>
      <c r="BZ43" s="42" t="str">
        <f t="shared" si="11"/>
        <v/>
      </c>
      <c r="CA43" s="42" t="str">
        <f t="shared" si="11"/>
        <v/>
      </c>
      <c r="CB43" s="42" t="str">
        <f t="shared" si="12"/>
        <v/>
      </c>
      <c r="CC43" s="42" t="str">
        <f t="shared" si="12"/>
        <v/>
      </c>
      <c r="CD43" s="42" t="str">
        <f t="shared" si="12"/>
        <v/>
      </c>
      <c r="CE43" s="42" t="str">
        <f t="shared" si="12"/>
        <v/>
      </c>
      <c r="CF43" s="42" t="str">
        <f t="shared" si="12"/>
        <v/>
      </c>
      <c r="CG43" s="42" t="str">
        <f t="shared" si="12"/>
        <v/>
      </c>
      <c r="CH43" s="42" t="str">
        <f t="shared" si="12"/>
        <v/>
      </c>
      <c r="CI43" s="42" t="str">
        <f t="shared" si="12"/>
        <v/>
      </c>
      <c r="CJ43" s="42" t="str">
        <f t="shared" si="12"/>
        <v/>
      </c>
      <c r="CK43" s="42" t="str">
        <f t="shared" si="12"/>
        <v/>
      </c>
      <c r="CL43" s="42" t="str">
        <f t="shared" si="13"/>
        <v/>
      </c>
      <c r="CM43" s="42" t="str">
        <f t="shared" si="13"/>
        <v/>
      </c>
      <c r="CN43" s="42" t="str">
        <f t="shared" si="13"/>
        <v/>
      </c>
      <c r="CO43" s="42" t="str">
        <f t="shared" si="13"/>
        <v/>
      </c>
      <c r="CP43" s="42" t="str">
        <f t="shared" si="13"/>
        <v/>
      </c>
      <c r="CQ43" s="42" t="str">
        <f t="shared" si="13"/>
        <v/>
      </c>
      <c r="CR43" s="42" t="str">
        <f t="shared" si="13"/>
        <v/>
      </c>
      <c r="CS43" s="42" t="str">
        <f t="shared" si="13"/>
        <v/>
      </c>
      <c r="CT43" s="42" t="str">
        <f t="shared" si="13"/>
        <v/>
      </c>
      <c r="CU43" s="42" t="str">
        <f t="shared" si="13"/>
        <v/>
      </c>
      <c r="CV43" s="42" t="str">
        <f t="shared" si="14"/>
        <v/>
      </c>
      <c r="CW43" s="42" t="str">
        <f t="shared" si="14"/>
        <v/>
      </c>
      <c r="CX43" s="42" t="str">
        <f t="shared" si="14"/>
        <v/>
      </c>
      <c r="CY43" s="42" t="str">
        <f t="shared" si="14"/>
        <v/>
      </c>
      <c r="CZ43" s="42" t="str">
        <f t="shared" si="14"/>
        <v/>
      </c>
      <c r="DA43" s="43" t="str">
        <f t="shared" si="14"/>
        <v/>
      </c>
    </row>
    <row r="44" spans="1:105" hidden="1" outlineLevel="1" x14ac:dyDescent="0.3">
      <c r="A44" s="32">
        <v>3</v>
      </c>
      <c r="B44" s="344"/>
      <c r="C44" s="352"/>
      <c r="D44" s="273" t="s">
        <v>339</v>
      </c>
      <c r="E44" s="274"/>
      <c r="F44" s="274"/>
      <c r="G44" s="274"/>
      <c r="H44" s="222">
        <f t="shared" si="15"/>
        <v>0</v>
      </c>
      <c r="I44" s="252"/>
      <c r="J44" s="42" t="str">
        <f t="shared" ref="J44:S50" si="16">IFERROR(IF($H44+$I44=J$33,$A44,(IF((J$33&lt;$H44+$I44),(IF(J$33&gt;$H44,$A44,"")),""))),"")</f>
        <v/>
      </c>
      <c r="K44" s="42" t="str">
        <f t="shared" si="16"/>
        <v/>
      </c>
      <c r="L44" s="42" t="str">
        <f t="shared" si="16"/>
        <v/>
      </c>
      <c r="M44" s="42" t="str">
        <f t="shared" si="16"/>
        <v/>
      </c>
      <c r="N44" s="42" t="str">
        <f t="shared" si="16"/>
        <v/>
      </c>
      <c r="O44" s="42" t="str">
        <f t="shared" si="16"/>
        <v/>
      </c>
      <c r="P44" s="42" t="str">
        <f t="shared" si="16"/>
        <v/>
      </c>
      <c r="Q44" s="42" t="str">
        <f t="shared" si="16"/>
        <v/>
      </c>
      <c r="R44" s="42" t="str">
        <f t="shared" si="16"/>
        <v/>
      </c>
      <c r="S44" s="42" t="str">
        <f t="shared" si="16"/>
        <v/>
      </c>
      <c r="T44" s="42" t="str">
        <f t="shared" ref="T44:AC50" si="17">IFERROR(IF($H44+$I44=T$33,$A44,(IF((T$33&lt;$H44+$I44),(IF(T$33&gt;$H44,$A44,"")),""))),"")</f>
        <v/>
      </c>
      <c r="U44" s="42" t="str">
        <f t="shared" si="17"/>
        <v/>
      </c>
      <c r="V44" s="42" t="str">
        <f t="shared" si="17"/>
        <v/>
      </c>
      <c r="W44" s="42" t="str">
        <f t="shared" si="17"/>
        <v/>
      </c>
      <c r="X44" s="42" t="str">
        <f t="shared" si="17"/>
        <v/>
      </c>
      <c r="Y44" s="42" t="str">
        <f t="shared" si="17"/>
        <v/>
      </c>
      <c r="Z44" s="42" t="str">
        <f t="shared" si="17"/>
        <v/>
      </c>
      <c r="AA44" s="42" t="str">
        <f t="shared" si="17"/>
        <v/>
      </c>
      <c r="AB44" s="42" t="str">
        <f t="shared" si="17"/>
        <v/>
      </c>
      <c r="AC44" s="42" t="str">
        <f t="shared" si="17"/>
        <v/>
      </c>
      <c r="AD44" s="42" t="str">
        <f t="shared" ref="AD44:AM50" si="18">IFERROR(IF($H44+$I44=AD$33,$A44,(IF((AD$33&lt;$H44+$I44),(IF(AD$33&gt;$H44,$A44,"")),""))),"")</f>
        <v/>
      </c>
      <c r="AE44" s="42" t="str">
        <f t="shared" si="18"/>
        <v/>
      </c>
      <c r="AF44" s="42" t="str">
        <f t="shared" si="18"/>
        <v/>
      </c>
      <c r="AG44" s="42" t="str">
        <f t="shared" si="18"/>
        <v/>
      </c>
      <c r="AH44" s="42" t="str">
        <f t="shared" si="18"/>
        <v/>
      </c>
      <c r="AI44" s="42" t="str">
        <f t="shared" si="18"/>
        <v/>
      </c>
      <c r="AJ44" s="42" t="str">
        <f t="shared" si="18"/>
        <v/>
      </c>
      <c r="AK44" s="42" t="str">
        <f t="shared" si="18"/>
        <v/>
      </c>
      <c r="AL44" s="42" t="str">
        <f t="shared" si="18"/>
        <v/>
      </c>
      <c r="AM44" s="42" t="str">
        <f t="shared" si="18"/>
        <v/>
      </c>
      <c r="AN44" s="42" t="str">
        <f t="shared" ref="AN44:AW50" si="19">IFERROR(IF($H44+$I44=AN$33,$A44,(IF((AN$33&lt;$H44+$I44),(IF(AN$33&gt;$H44,$A44,"")),""))),"")</f>
        <v/>
      </c>
      <c r="AO44" s="42" t="str">
        <f t="shared" si="19"/>
        <v/>
      </c>
      <c r="AP44" s="42" t="str">
        <f t="shared" si="19"/>
        <v/>
      </c>
      <c r="AQ44" s="42" t="str">
        <f t="shared" si="19"/>
        <v/>
      </c>
      <c r="AR44" s="42" t="str">
        <f t="shared" si="19"/>
        <v/>
      </c>
      <c r="AS44" s="42" t="str">
        <f t="shared" si="19"/>
        <v/>
      </c>
      <c r="AT44" s="42" t="str">
        <f t="shared" si="19"/>
        <v/>
      </c>
      <c r="AU44" s="42" t="str">
        <f t="shared" si="19"/>
        <v/>
      </c>
      <c r="AV44" s="42" t="str">
        <f t="shared" si="19"/>
        <v/>
      </c>
      <c r="AW44" s="42" t="str">
        <f t="shared" si="19"/>
        <v/>
      </c>
      <c r="AX44" s="42" t="str">
        <f t="shared" ref="AX44:BG50" si="20">IFERROR(IF($H44+$I44=AX$33,$A44,(IF((AX$33&lt;$H44+$I44),(IF(AX$33&gt;$H44,$A44,"")),""))),"")</f>
        <v/>
      </c>
      <c r="AY44" s="42" t="str">
        <f t="shared" si="20"/>
        <v/>
      </c>
      <c r="AZ44" s="42" t="str">
        <f t="shared" si="20"/>
        <v/>
      </c>
      <c r="BA44" s="42" t="str">
        <f t="shared" si="20"/>
        <v/>
      </c>
      <c r="BB44" s="42" t="str">
        <f t="shared" si="20"/>
        <v/>
      </c>
      <c r="BC44" s="42" t="str">
        <f t="shared" si="20"/>
        <v/>
      </c>
      <c r="BD44" s="42" t="str">
        <f t="shared" si="20"/>
        <v/>
      </c>
      <c r="BE44" s="154" t="str">
        <f t="shared" si="20"/>
        <v/>
      </c>
      <c r="BF44" s="42" t="str">
        <f t="shared" si="20"/>
        <v/>
      </c>
      <c r="BG44" s="42" t="str">
        <f t="shared" si="20"/>
        <v/>
      </c>
      <c r="BH44" s="42" t="str">
        <f t="shared" ref="BH44:BQ50" si="21">IFERROR(IF($H44+$I44=BH$33,$A44,(IF((BH$33&lt;$H44+$I44),(IF(BH$33&gt;$H44,$A44,"")),""))),"")</f>
        <v/>
      </c>
      <c r="BI44" s="42" t="str">
        <f t="shared" si="21"/>
        <v/>
      </c>
      <c r="BJ44" s="42" t="str">
        <f t="shared" si="21"/>
        <v/>
      </c>
      <c r="BK44" s="42" t="str">
        <f t="shared" si="21"/>
        <v/>
      </c>
      <c r="BL44" s="42" t="str">
        <f t="shared" si="21"/>
        <v/>
      </c>
      <c r="BM44" s="42" t="str">
        <f t="shared" si="21"/>
        <v/>
      </c>
      <c r="BN44" s="42" t="str">
        <f t="shared" si="21"/>
        <v/>
      </c>
      <c r="BO44" s="42" t="str">
        <f t="shared" si="21"/>
        <v/>
      </c>
      <c r="BP44" s="42" t="str">
        <f t="shared" si="21"/>
        <v/>
      </c>
      <c r="BQ44" s="42" t="str">
        <f t="shared" si="21"/>
        <v/>
      </c>
      <c r="BR44" s="42" t="str">
        <f t="shared" ref="BR44:CA50" si="22">IFERROR(IF($H44+$I44=BR$33,$A44,(IF((BR$33&lt;$H44+$I44),(IF(BR$33&gt;$H44,$A44,"")),""))),"")</f>
        <v/>
      </c>
      <c r="BS44" s="42" t="str">
        <f t="shared" si="22"/>
        <v/>
      </c>
      <c r="BT44" s="42" t="str">
        <f t="shared" si="22"/>
        <v/>
      </c>
      <c r="BU44" s="42" t="str">
        <f t="shared" si="22"/>
        <v/>
      </c>
      <c r="BV44" s="42" t="str">
        <f t="shared" si="22"/>
        <v/>
      </c>
      <c r="BW44" s="42" t="str">
        <f t="shared" si="22"/>
        <v/>
      </c>
      <c r="BX44" s="42" t="str">
        <f t="shared" si="22"/>
        <v/>
      </c>
      <c r="BY44" s="42" t="str">
        <f t="shared" si="22"/>
        <v/>
      </c>
      <c r="BZ44" s="42" t="str">
        <f t="shared" si="22"/>
        <v/>
      </c>
      <c r="CA44" s="42" t="str">
        <f t="shared" si="22"/>
        <v/>
      </c>
      <c r="CB44" s="42" t="str">
        <f t="shared" ref="CB44:CK50" si="23">IFERROR(IF($H44+$I44=CB$33,$A44,(IF((CB$33&lt;$H44+$I44),(IF(CB$33&gt;$H44,$A44,"")),""))),"")</f>
        <v/>
      </c>
      <c r="CC44" s="42" t="str">
        <f t="shared" si="23"/>
        <v/>
      </c>
      <c r="CD44" s="42" t="str">
        <f t="shared" si="23"/>
        <v/>
      </c>
      <c r="CE44" s="42" t="str">
        <f t="shared" si="23"/>
        <v/>
      </c>
      <c r="CF44" s="42" t="str">
        <f t="shared" si="23"/>
        <v/>
      </c>
      <c r="CG44" s="42" t="str">
        <f t="shared" si="23"/>
        <v/>
      </c>
      <c r="CH44" s="42" t="str">
        <f t="shared" si="23"/>
        <v/>
      </c>
      <c r="CI44" s="42" t="str">
        <f t="shared" si="23"/>
        <v/>
      </c>
      <c r="CJ44" s="42" t="str">
        <f t="shared" si="23"/>
        <v/>
      </c>
      <c r="CK44" s="42" t="str">
        <f t="shared" si="23"/>
        <v/>
      </c>
      <c r="CL44" s="42" t="str">
        <f t="shared" ref="CL44:CU50" si="24">IFERROR(IF($H44+$I44=CL$33,$A44,(IF((CL$33&lt;$H44+$I44),(IF(CL$33&gt;$H44,$A44,"")),""))),"")</f>
        <v/>
      </c>
      <c r="CM44" s="42" t="str">
        <f t="shared" si="24"/>
        <v/>
      </c>
      <c r="CN44" s="42" t="str">
        <f t="shared" si="24"/>
        <v/>
      </c>
      <c r="CO44" s="42" t="str">
        <f t="shared" si="24"/>
        <v/>
      </c>
      <c r="CP44" s="42" t="str">
        <f t="shared" si="24"/>
        <v/>
      </c>
      <c r="CQ44" s="42" t="str">
        <f t="shared" si="24"/>
        <v/>
      </c>
      <c r="CR44" s="42" t="str">
        <f t="shared" si="24"/>
        <v/>
      </c>
      <c r="CS44" s="42" t="str">
        <f t="shared" si="24"/>
        <v/>
      </c>
      <c r="CT44" s="42" t="str">
        <f t="shared" si="24"/>
        <v/>
      </c>
      <c r="CU44" s="42" t="str">
        <f t="shared" si="24"/>
        <v/>
      </c>
      <c r="CV44" s="42" t="str">
        <f t="shared" ref="CV44:DA50" si="25">IFERROR(IF($H44+$I44=CV$33,$A44,(IF((CV$33&lt;$H44+$I44),(IF(CV$33&gt;$H44,$A44,"")),""))),"")</f>
        <v/>
      </c>
      <c r="CW44" s="42" t="str">
        <f t="shared" si="25"/>
        <v/>
      </c>
      <c r="CX44" s="42" t="str">
        <f t="shared" si="25"/>
        <v/>
      </c>
      <c r="CY44" s="42" t="str">
        <f t="shared" si="25"/>
        <v/>
      </c>
      <c r="CZ44" s="42" t="str">
        <f t="shared" si="25"/>
        <v/>
      </c>
      <c r="DA44" s="43" t="str">
        <f t="shared" si="25"/>
        <v/>
      </c>
    </row>
    <row r="45" spans="1:105" collapsed="1" x14ac:dyDescent="0.3">
      <c r="A45" s="32">
        <v>4</v>
      </c>
      <c r="B45" s="344"/>
      <c r="C45" s="352"/>
      <c r="D45" s="328" t="s">
        <v>2</v>
      </c>
      <c r="E45" s="329"/>
      <c r="F45" s="329"/>
      <c r="G45" s="226"/>
      <c r="H45" s="221">
        <f t="shared" si="15"/>
        <v>0</v>
      </c>
      <c r="I45" s="254"/>
      <c r="J45" s="42" t="str">
        <f t="shared" si="16"/>
        <v/>
      </c>
      <c r="K45" s="42" t="str">
        <f t="shared" si="16"/>
        <v/>
      </c>
      <c r="L45" s="42" t="str">
        <f t="shared" si="16"/>
        <v/>
      </c>
      <c r="M45" s="42" t="str">
        <f t="shared" si="16"/>
        <v/>
      </c>
      <c r="N45" s="42" t="str">
        <f t="shared" si="16"/>
        <v/>
      </c>
      <c r="O45" s="42" t="str">
        <f t="shared" si="16"/>
        <v/>
      </c>
      <c r="P45" s="42" t="str">
        <f t="shared" si="16"/>
        <v/>
      </c>
      <c r="Q45" s="42" t="str">
        <f t="shared" si="16"/>
        <v/>
      </c>
      <c r="R45" s="42" t="str">
        <f t="shared" si="16"/>
        <v/>
      </c>
      <c r="S45" s="42" t="str">
        <f t="shared" si="16"/>
        <v/>
      </c>
      <c r="T45" s="42" t="str">
        <f t="shared" si="17"/>
        <v/>
      </c>
      <c r="U45" s="42" t="str">
        <f t="shared" si="17"/>
        <v/>
      </c>
      <c r="V45" s="42" t="str">
        <f t="shared" si="17"/>
        <v/>
      </c>
      <c r="W45" s="42" t="str">
        <f t="shared" si="17"/>
        <v/>
      </c>
      <c r="X45" s="42" t="str">
        <f t="shared" si="17"/>
        <v/>
      </c>
      <c r="Y45" s="42" t="str">
        <f t="shared" si="17"/>
        <v/>
      </c>
      <c r="Z45" s="42" t="str">
        <f t="shared" si="17"/>
        <v/>
      </c>
      <c r="AA45" s="42" t="str">
        <f t="shared" si="17"/>
        <v/>
      </c>
      <c r="AB45" s="42" t="str">
        <f t="shared" si="17"/>
        <v/>
      </c>
      <c r="AC45" s="42" t="str">
        <f t="shared" si="17"/>
        <v/>
      </c>
      <c r="AD45" s="42" t="str">
        <f t="shared" si="18"/>
        <v/>
      </c>
      <c r="AE45" s="42" t="str">
        <f t="shared" si="18"/>
        <v/>
      </c>
      <c r="AF45" s="42" t="str">
        <f t="shared" si="18"/>
        <v/>
      </c>
      <c r="AG45" s="42" t="str">
        <f t="shared" si="18"/>
        <v/>
      </c>
      <c r="AH45" s="42" t="str">
        <f t="shared" si="18"/>
        <v/>
      </c>
      <c r="AI45" s="42" t="str">
        <f t="shared" si="18"/>
        <v/>
      </c>
      <c r="AJ45" s="42" t="str">
        <f t="shared" si="18"/>
        <v/>
      </c>
      <c r="AK45" s="42" t="str">
        <f t="shared" si="18"/>
        <v/>
      </c>
      <c r="AL45" s="42" t="str">
        <f t="shared" si="18"/>
        <v/>
      </c>
      <c r="AM45" s="42" t="str">
        <f t="shared" si="18"/>
        <v/>
      </c>
      <c r="AN45" s="42" t="str">
        <f t="shared" si="19"/>
        <v/>
      </c>
      <c r="AO45" s="42" t="str">
        <f t="shared" si="19"/>
        <v/>
      </c>
      <c r="AP45" s="42" t="str">
        <f t="shared" si="19"/>
        <v/>
      </c>
      <c r="AQ45" s="42" t="str">
        <f t="shared" si="19"/>
        <v/>
      </c>
      <c r="AR45" s="42" t="str">
        <f t="shared" si="19"/>
        <v/>
      </c>
      <c r="AS45" s="42" t="str">
        <f t="shared" si="19"/>
        <v/>
      </c>
      <c r="AT45" s="42" t="str">
        <f t="shared" si="19"/>
        <v/>
      </c>
      <c r="AU45" s="42" t="str">
        <f t="shared" si="19"/>
        <v/>
      </c>
      <c r="AV45" s="42" t="str">
        <f t="shared" si="19"/>
        <v/>
      </c>
      <c r="AW45" s="42" t="str">
        <f t="shared" si="19"/>
        <v/>
      </c>
      <c r="AX45" s="42" t="str">
        <f t="shared" si="20"/>
        <v/>
      </c>
      <c r="AY45" s="42" t="str">
        <f t="shared" si="20"/>
        <v/>
      </c>
      <c r="AZ45" s="42" t="str">
        <f t="shared" si="20"/>
        <v/>
      </c>
      <c r="BA45" s="42" t="str">
        <f t="shared" si="20"/>
        <v/>
      </c>
      <c r="BB45" s="42" t="str">
        <f t="shared" si="20"/>
        <v/>
      </c>
      <c r="BC45" s="42" t="str">
        <f t="shared" si="20"/>
        <v/>
      </c>
      <c r="BD45" s="42" t="str">
        <f t="shared" si="20"/>
        <v/>
      </c>
      <c r="BE45" s="154" t="str">
        <f t="shared" si="20"/>
        <v/>
      </c>
      <c r="BF45" s="42" t="str">
        <f t="shared" si="20"/>
        <v/>
      </c>
      <c r="BG45" s="42" t="str">
        <f t="shared" si="20"/>
        <v/>
      </c>
      <c r="BH45" s="42" t="str">
        <f t="shared" si="21"/>
        <v/>
      </c>
      <c r="BI45" s="42" t="str">
        <f t="shared" si="21"/>
        <v/>
      </c>
      <c r="BJ45" s="42" t="str">
        <f t="shared" si="21"/>
        <v/>
      </c>
      <c r="BK45" s="42" t="str">
        <f t="shared" si="21"/>
        <v/>
      </c>
      <c r="BL45" s="42" t="str">
        <f t="shared" si="21"/>
        <v/>
      </c>
      <c r="BM45" s="42" t="str">
        <f t="shared" si="21"/>
        <v/>
      </c>
      <c r="BN45" s="42" t="str">
        <f t="shared" si="21"/>
        <v/>
      </c>
      <c r="BO45" s="42" t="str">
        <f t="shared" si="21"/>
        <v/>
      </c>
      <c r="BP45" s="42" t="str">
        <f t="shared" si="21"/>
        <v/>
      </c>
      <c r="BQ45" s="42" t="str">
        <f t="shared" si="21"/>
        <v/>
      </c>
      <c r="BR45" s="42" t="str">
        <f t="shared" si="22"/>
        <v/>
      </c>
      <c r="BS45" s="42" t="str">
        <f t="shared" si="22"/>
        <v/>
      </c>
      <c r="BT45" s="42" t="str">
        <f t="shared" si="22"/>
        <v/>
      </c>
      <c r="BU45" s="42" t="str">
        <f t="shared" si="22"/>
        <v/>
      </c>
      <c r="BV45" s="42" t="str">
        <f t="shared" si="22"/>
        <v/>
      </c>
      <c r="BW45" s="42" t="str">
        <f t="shared" si="22"/>
        <v/>
      </c>
      <c r="BX45" s="42" t="str">
        <f t="shared" si="22"/>
        <v/>
      </c>
      <c r="BY45" s="42" t="str">
        <f t="shared" si="22"/>
        <v/>
      </c>
      <c r="BZ45" s="42" t="str">
        <f t="shared" si="22"/>
        <v/>
      </c>
      <c r="CA45" s="42" t="str">
        <f t="shared" si="22"/>
        <v/>
      </c>
      <c r="CB45" s="42" t="str">
        <f t="shared" si="23"/>
        <v/>
      </c>
      <c r="CC45" s="42" t="str">
        <f t="shared" si="23"/>
        <v/>
      </c>
      <c r="CD45" s="42" t="str">
        <f t="shared" si="23"/>
        <v/>
      </c>
      <c r="CE45" s="42" t="str">
        <f t="shared" si="23"/>
        <v/>
      </c>
      <c r="CF45" s="42" t="str">
        <f t="shared" si="23"/>
        <v/>
      </c>
      <c r="CG45" s="42" t="str">
        <f t="shared" si="23"/>
        <v/>
      </c>
      <c r="CH45" s="42" t="str">
        <f t="shared" si="23"/>
        <v/>
      </c>
      <c r="CI45" s="42" t="str">
        <f t="shared" si="23"/>
        <v/>
      </c>
      <c r="CJ45" s="42" t="str">
        <f t="shared" si="23"/>
        <v/>
      </c>
      <c r="CK45" s="42" t="str">
        <f t="shared" si="23"/>
        <v/>
      </c>
      <c r="CL45" s="42" t="str">
        <f t="shared" si="24"/>
        <v/>
      </c>
      <c r="CM45" s="42" t="str">
        <f t="shared" si="24"/>
        <v/>
      </c>
      <c r="CN45" s="42" t="str">
        <f t="shared" si="24"/>
        <v/>
      </c>
      <c r="CO45" s="42" t="str">
        <f t="shared" si="24"/>
        <v/>
      </c>
      <c r="CP45" s="42" t="str">
        <f t="shared" si="24"/>
        <v/>
      </c>
      <c r="CQ45" s="42" t="str">
        <f t="shared" si="24"/>
        <v/>
      </c>
      <c r="CR45" s="42" t="str">
        <f t="shared" si="24"/>
        <v/>
      </c>
      <c r="CS45" s="42" t="str">
        <f t="shared" si="24"/>
        <v/>
      </c>
      <c r="CT45" s="42" t="str">
        <f t="shared" si="24"/>
        <v/>
      </c>
      <c r="CU45" s="42" t="str">
        <f t="shared" si="24"/>
        <v/>
      </c>
      <c r="CV45" s="42" t="str">
        <f t="shared" si="25"/>
        <v/>
      </c>
      <c r="CW45" s="42" t="str">
        <f t="shared" si="25"/>
        <v/>
      </c>
      <c r="CX45" s="42" t="str">
        <f t="shared" si="25"/>
        <v/>
      </c>
      <c r="CY45" s="42" t="str">
        <f t="shared" si="25"/>
        <v/>
      </c>
      <c r="CZ45" s="42" t="str">
        <f t="shared" si="25"/>
        <v/>
      </c>
      <c r="DA45" s="43" t="str">
        <f t="shared" si="25"/>
        <v/>
      </c>
    </row>
    <row r="46" spans="1:105" ht="15" customHeight="1" thickBot="1" x14ac:dyDescent="0.35">
      <c r="A46" s="32">
        <v>4</v>
      </c>
      <c r="B46" s="344"/>
      <c r="C46" s="353"/>
      <c r="D46" s="330" t="s">
        <v>175</v>
      </c>
      <c r="E46" s="331"/>
      <c r="F46" s="331"/>
      <c r="G46" s="228"/>
      <c r="H46" s="264">
        <f t="shared" si="15"/>
        <v>0</v>
      </c>
      <c r="I46" s="255"/>
      <c r="J46" s="44" t="str">
        <f t="shared" si="16"/>
        <v/>
      </c>
      <c r="K46" s="44" t="str">
        <f t="shared" si="16"/>
        <v/>
      </c>
      <c r="L46" s="44" t="str">
        <f t="shared" si="16"/>
        <v/>
      </c>
      <c r="M46" s="44" t="str">
        <f t="shared" si="16"/>
        <v/>
      </c>
      <c r="N46" s="44" t="str">
        <f t="shared" si="16"/>
        <v/>
      </c>
      <c r="O46" s="44" t="str">
        <f t="shared" si="16"/>
        <v/>
      </c>
      <c r="P46" s="44" t="str">
        <f t="shared" si="16"/>
        <v/>
      </c>
      <c r="Q46" s="44" t="str">
        <f t="shared" si="16"/>
        <v/>
      </c>
      <c r="R46" s="44" t="str">
        <f t="shared" si="16"/>
        <v/>
      </c>
      <c r="S46" s="44" t="str">
        <f t="shared" si="16"/>
        <v/>
      </c>
      <c r="T46" s="44" t="str">
        <f t="shared" si="17"/>
        <v/>
      </c>
      <c r="U46" s="44" t="str">
        <f t="shared" si="17"/>
        <v/>
      </c>
      <c r="V46" s="44" t="str">
        <f t="shared" si="17"/>
        <v/>
      </c>
      <c r="W46" s="44" t="str">
        <f t="shared" si="17"/>
        <v/>
      </c>
      <c r="X46" s="44" t="str">
        <f t="shared" si="17"/>
        <v/>
      </c>
      <c r="Y46" s="44" t="str">
        <f t="shared" si="17"/>
        <v/>
      </c>
      <c r="Z46" s="44" t="str">
        <f t="shared" si="17"/>
        <v/>
      </c>
      <c r="AA46" s="44" t="str">
        <f t="shared" si="17"/>
        <v/>
      </c>
      <c r="AB46" s="44" t="str">
        <f t="shared" si="17"/>
        <v/>
      </c>
      <c r="AC46" s="44" t="str">
        <f t="shared" si="17"/>
        <v/>
      </c>
      <c r="AD46" s="44" t="str">
        <f t="shared" si="18"/>
        <v/>
      </c>
      <c r="AE46" s="44" t="str">
        <f t="shared" si="18"/>
        <v/>
      </c>
      <c r="AF46" s="44" t="str">
        <f t="shared" si="18"/>
        <v/>
      </c>
      <c r="AG46" s="44" t="str">
        <f t="shared" si="18"/>
        <v/>
      </c>
      <c r="AH46" s="44" t="str">
        <f t="shared" si="18"/>
        <v/>
      </c>
      <c r="AI46" s="44" t="str">
        <f t="shared" si="18"/>
        <v/>
      </c>
      <c r="AJ46" s="44" t="str">
        <f t="shared" si="18"/>
        <v/>
      </c>
      <c r="AK46" s="44" t="str">
        <f t="shared" si="18"/>
        <v/>
      </c>
      <c r="AL46" s="44" t="str">
        <f t="shared" si="18"/>
        <v/>
      </c>
      <c r="AM46" s="44" t="str">
        <f t="shared" si="18"/>
        <v/>
      </c>
      <c r="AN46" s="44" t="str">
        <f t="shared" si="19"/>
        <v/>
      </c>
      <c r="AO46" s="44" t="str">
        <f t="shared" si="19"/>
        <v/>
      </c>
      <c r="AP46" s="44" t="str">
        <f t="shared" si="19"/>
        <v/>
      </c>
      <c r="AQ46" s="44" t="str">
        <f t="shared" si="19"/>
        <v/>
      </c>
      <c r="AR46" s="44" t="str">
        <f t="shared" si="19"/>
        <v/>
      </c>
      <c r="AS46" s="44" t="str">
        <f t="shared" si="19"/>
        <v/>
      </c>
      <c r="AT46" s="44" t="str">
        <f t="shared" si="19"/>
        <v/>
      </c>
      <c r="AU46" s="44" t="str">
        <f t="shared" si="19"/>
        <v/>
      </c>
      <c r="AV46" s="44" t="str">
        <f t="shared" si="19"/>
        <v/>
      </c>
      <c r="AW46" s="44" t="str">
        <f t="shared" si="19"/>
        <v/>
      </c>
      <c r="AX46" s="44" t="str">
        <f t="shared" si="20"/>
        <v/>
      </c>
      <c r="AY46" s="44" t="str">
        <f t="shared" si="20"/>
        <v/>
      </c>
      <c r="AZ46" s="44" t="str">
        <f t="shared" si="20"/>
        <v/>
      </c>
      <c r="BA46" s="44" t="str">
        <f t="shared" si="20"/>
        <v/>
      </c>
      <c r="BB46" s="44" t="str">
        <f t="shared" si="20"/>
        <v/>
      </c>
      <c r="BC46" s="44" t="str">
        <f t="shared" si="20"/>
        <v/>
      </c>
      <c r="BD46" s="44" t="str">
        <f t="shared" si="20"/>
        <v/>
      </c>
      <c r="BE46" s="155" t="str">
        <f t="shared" si="20"/>
        <v/>
      </c>
      <c r="BF46" s="44" t="str">
        <f t="shared" si="20"/>
        <v/>
      </c>
      <c r="BG46" s="44" t="str">
        <f t="shared" si="20"/>
        <v/>
      </c>
      <c r="BH46" s="44" t="str">
        <f t="shared" si="21"/>
        <v/>
      </c>
      <c r="BI46" s="44" t="str">
        <f t="shared" si="21"/>
        <v/>
      </c>
      <c r="BJ46" s="44" t="str">
        <f t="shared" si="21"/>
        <v/>
      </c>
      <c r="BK46" s="44" t="str">
        <f t="shared" si="21"/>
        <v/>
      </c>
      <c r="BL46" s="44" t="str">
        <f t="shared" si="21"/>
        <v/>
      </c>
      <c r="BM46" s="44" t="str">
        <f t="shared" si="21"/>
        <v/>
      </c>
      <c r="BN46" s="44" t="str">
        <f t="shared" si="21"/>
        <v/>
      </c>
      <c r="BO46" s="44" t="str">
        <f t="shared" si="21"/>
        <v/>
      </c>
      <c r="BP46" s="44" t="str">
        <f t="shared" si="21"/>
        <v/>
      </c>
      <c r="BQ46" s="44" t="str">
        <f t="shared" si="21"/>
        <v/>
      </c>
      <c r="BR46" s="44" t="str">
        <f t="shared" si="22"/>
        <v/>
      </c>
      <c r="BS46" s="44" t="str">
        <f t="shared" si="22"/>
        <v/>
      </c>
      <c r="BT46" s="44" t="str">
        <f t="shared" si="22"/>
        <v/>
      </c>
      <c r="BU46" s="44" t="str">
        <f t="shared" si="22"/>
        <v/>
      </c>
      <c r="BV46" s="44" t="str">
        <f t="shared" si="22"/>
        <v/>
      </c>
      <c r="BW46" s="44" t="str">
        <f t="shared" si="22"/>
        <v/>
      </c>
      <c r="BX46" s="44" t="str">
        <f t="shared" si="22"/>
        <v/>
      </c>
      <c r="BY46" s="44" t="str">
        <f t="shared" si="22"/>
        <v/>
      </c>
      <c r="BZ46" s="44" t="str">
        <f t="shared" si="22"/>
        <v/>
      </c>
      <c r="CA46" s="44" t="str">
        <f t="shared" si="22"/>
        <v/>
      </c>
      <c r="CB46" s="44" t="str">
        <f t="shared" si="23"/>
        <v/>
      </c>
      <c r="CC46" s="44" t="str">
        <f t="shared" si="23"/>
        <v/>
      </c>
      <c r="CD46" s="44" t="str">
        <f t="shared" si="23"/>
        <v/>
      </c>
      <c r="CE46" s="44" t="str">
        <f t="shared" si="23"/>
        <v/>
      </c>
      <c r="CF46" s="44" t="str">
        <f t="shared" si="23"/>
        <v/>
      </c>
      <c r="CG46" s="44" t="str">
        <f t="shared" si="23"/>
        <v/>
      </c>
      <c r="CH46" s="44" t="str">
        <f t="shared" si="23"/>
        <v/>
      </c>
      <c r="CI46" s="44" t="str">
        <f t="shared" si="23"/>
        <v/>
      </c>
      <c r="CJ46" s="44" t="str">
        <f t="shared" si="23"/>
        <v/>
      </c>
      <c r="CK46" s="44" t="str">
        <f t="shared" si="23"/>
        <v/>
      </c>
      <c r="CL46" s="44" t="str">
        <f t="shared" si="24"/>
        <v/>
      </c>
      <c r="CM46" s="44" t="str">
        <f t="shared" si="24"/>
        <v/>
      </c>
      <c r="CN46" s="44" t="str">
        <f t="shared" si="24"/>
        <v/>
      </c>
      <c r="CO46" s="44" t="str">
        <f t="shared" si="24"/>
        <v/>
      </c>
      <c r="CP46" s="44" t="str">
        <f t="shared" si="24"/>
        <v/>
      </c>
      <c r="CQ46" s="44" t="str">
        <f t="shared" si="24"/>
        <v/>
      </c>
      <c r="CR46" s="44" t="str">
        <f t="shared" si="24"/>
        <v/>
      </c>
      <c r="CS46" s="44" t="str">
        <f t="shared" si="24"/>
        <v/>
      </c>
      <c r="CT46" s="44" t="str">
        <f t="shared" si="24"/>
        <v/>
      </c>
      <c r="CU46" s="44" t="str">
        <f t="shared" si="24"/>
        <v/>
      </c>
      <c r="CV46" s="44" t="str">
        <f t="shared" si="25"/>
        <v/>
      </c>
      <c r="CW46" s="44" t="str">
        <f t="shared" si="25"/>
        <v/>
      </c>
      <c r="CX46" s="44" t="str">
        <f t="shared" si="25"/>
        <v/>
      </c>
      <c r="CY46" s="44" t="str">
        <f t="shared" si="25"/>
        <v/>
      </c>
      <c r="CZ46" s="44" t="str">
        <f t="shared" si="25"/>
        <v/>
      </c>
      <c r="DA46" s="45" t="str">
        <f t="shared" si="25"/>
        <v/>
      </c>
    </row>
    <row r="47" spans="1:105" ht="14.4" customHeight="1" x14ac:dyDescent="0.3">
      <c r="A47" s="32">
        <v>0</v>
      </c>
      <c r="B47" s="344"/>
      <c r="C47" s="354" t="s">
        <v>69</v>
      </c>
      <c r="D47" s="273" t="s">
        <v>71</v>
      </c>
      <c r="E47" s="274"/>
      <c r="F47" s="274"/>
      <c r="G47" s="227"/>
      <c r="H47" s="215"/>
      <c r="I47" s="256"/>
      <c r="J47" s="42" t="str">
        <f t="shared" si="16"/>
        <v/>
      </c>
      <c r="K47" s="42" t="str">
        <f t="shared" si="16"/>
        <v/>
      </c>
      <c r="L47" s="42" t="str">
        <f t="shared" si="16"/>
        <v/>
      </c>
      <c r="M47" s="42" t="str">
        <f t="shared" si="16"/>
        <v/>
      </c>
      <c r="N47" s="42" t="str">
        <f t="shared" si="16"/>
        <v/>
      </c>
      <c r="O47" s="42" t="str">
        <f t="shared" si="16"/>
        <v/>
      </c>
      <c r="P47" s="42" t="str">
        <f t="shared" si="16"/>
        <v/>
      </c>
      <c r="Q47" s="42" t="str">
        <f t="shared" si="16"/>
        <v/>
      </c>
      <c r="R47" s="42" t="str">
        <f t="shared" si="16"/>
        <v/>
      </c>
      <c r="S47" s="42" t="str">
        <f t="shared" si="16"/>
        <v/>
      </c>
      <c r="T47" s="42" t="str">
        <f t="shared" si="17"/>
        <v/>
      </c>
      <c r="U47" s="42" t="str">
        <f t="shared" si="17"/>
        <v/>
      </c>
      <c r="V47" s="42" t="str">
        <f t="shared" si="17"/>
        <v/>
      </c>
      <c r="W47" s="42" t="str">
        <f t="shared" si="17"/>
        <v/>
      </c>
      <c r="X47" s="42" t="str">
        <f t="shared" si="17"/>
        <v/>
      </c>
      <c r="Y47" s="42" t="str">
        <f t="shared" si="17"/>
        <v/>
      </c>
      <c r="Z47" s="42" t="str">
        <f t="shared" si="17"/>
        <v/>
      </c>
      <c r="AA47" s="42" t="str">
        <f t="shared" si="17"/>
        <v/>
      </c>
      <c r="AB47" s="42" t="str">
        <f t="shared" si="17"/>
        <v/>
      </c>
      <c r="AC47" s="42" t="str">
        <f t="shared" si="17"/>
        <v/>
      </c>
      <c r="AD47" s="42" t="str">
        <f t="shared" si="18"/>
        <v/>
      </c>
      <c r="AE47" s="42" t="str">
        <f t="shared" si="18"/>
        <v/>
      </c>
      <c r="AF47" s="42" t="str">
        <f t="shared" si="18"/>
        <v/>
      </c>
      <c r="AG47" s="42" t="str">
        <f t="shared" si="18"/>
        <v/>
      </c>
      <c r="AH47" s="42" t="str">
        <f t="shared" si="18"/>
        <v/>
      </c>
      <c r="AI47" s="42" t="str">
        <f t="shared" si="18"/>
        <v/>
      </c>
      <c r="AJ47" s="42" t="str">
        <f t="shared" si="18"/>
        <v/>
      </c>
      <c r="AK47" s="42" t="str">
        <f t="shared" si="18"/>
        <v/>
      </c>
      <c r="AL47" s="42" t="str">
        <f t="shared" si="18"/>
        <v/>
      </c>
      <c r="AM47" s="42" t="str">
        <f t="shared" si="18"/>
        <v/>
      </c>
      <c r="AN47" s="42" t="str">
        <f t="shared" si="19"/>
        <v/>
      </c>
      <c r="AO47" s="42" t="str">
        <f t="shared" si="19"/>
        <v/>
      </c>
      <c r="AP47" s="42" t="str">
        <f t="shared" si="19"/>
        <v/>
      </c>
      <c r="AQ47" s="42" t="str">
        <f t="shared" si="19"/>
        <v/>
      </c>
      <c r="AR47" s="42" t="str">
        <f t="shared" si="19"/>
        <v/>
      </c>
      <c r="AS47" s="42" t="str">
        <f t="shared" si="19"/>
        <v/>
      </c>
      <c r="AT47" s="42" t="str">
        <f t="shared" si="19"/>
        <v/>
      </c>
      <c r="AU47" s="42" t="str">
        <f t="shared" si="19"/>
        <v/>
      </c>
      <c r="AV47" s="42" t="str">
        <f t="shared" si="19"/>
        <v/>
      </c>
      <c r="AW47" s="42" t="str">
        <f t="shared" si="19"/>
        <v/>
      </c>
      <c r="AX47" s="42" t="str">
        <f t="shared" si="20"/>
        <v/>
      </c>
      <c r="AY47" s="42" t="str">
        <f t="shared" si="20"/>
        <v/>
      </c>
      <c r="AZ47" s="42" t="str">
        <f t="shared" si="20"/>
        <v/>
      </c>
      <c r="BA47" s="42" t="str">
        <f t="shared" si="20"/>
        <v/>
      </c>
      <c r="BB47" s="42" t="str">
        <f t="shared" si="20"/>
        <v/>
      </c>
      <c r="BC47" s="42" t="str">
        <f t="shared" si="20"/>
        <v/>
      </c>
      <c r="BD47" s="42" t="str">
        <f t="shared" si="20"/>
        <v/>
      </c>
      <c r="BE47" s="154" t="str">
        <f t="shared" si="20"/>
        <v/>
      </c>
      <c r="BF47" s="42" t="str">
        <f t="shared" si="20"/>
        <v/>
      </c>
      <c r="BG47" s="42" t="str">
        <f t="shared" si="20"/>
        <v/>
      </c>
      <c r="BH47" s="42" t="str">
        <f t="shared" si="21"/>
        <v/>
      </c>
      <c r="BI47" s="42" t="str">
        <f t="shared" si="21"/>
        <v/>
      </c>
      <c r="BJ47" s="42" t="str">
        <f t="shared" si="21"/>
        <v/>
      </c>
      <c r="BK47" s="42" t="str">
        <f t="shared" si="21"/>
        <v/>
      </c>
      <c r="BL47" s="42" t="str">
        <f t="shared" si="21"/>
        <v/>
      </c>
      <c r="BM47" s="42" t="str">
        <f t="shared" si="21"/>
        <v/>
      </c>
      <c r="BN47" s="42" t="str">
        <f t="shared" si="21"/>
        <v/>
      </c>
      <c r="BO47" s="42" t="str">
        <f t="shared" si="21"/>
        <v/>
      </c>
      <c r="BP47" s="42" t="str">
        <f t="shared" si="21"/>
        <v/>
      </c>
      <c r="BQ47" s="42" t="str">
        <f t="shared" si="21"/>
        <v/>
      </c>
      <c r="BR47" s="42" t="str">
        <f t="shared" si="22"/>
        <v/>
      </c>
      <c r="BS47" s="42" t="str">
        <f t="shared" si="22"/>
        <v/>
      </c>
      <c r="BT47" s="42" t="str">
        <f t="shared" si="22"/>
        <v/>
      </c>
      <c r="BU47" s="42" t="str">
        <f t="shared" si="22"/>
        <v/>
      </c>
      <c r="BV47" s="42" t="str">
        <f t="shared" si="22"/>
        <v/>
      </c>
      <c r="BW47" s="42" t="str">
        <f t="shared" si="22"/>
        <v/>
      </c>
      <c r="BX47" s="42" t="str">
        <f t="shared" si="22"/>
        <v/>
      </c>
      <c r="BY47" s="42" t="str">
        <f t="shared" si="22"/>
        <v/>
      </c>
      <c r="BZ47" s="42" t="str">
        <f t="shared" si="22"/>
        <v/>
      </c>
      <c r="CA47" s="42" t="str">
        <f t="shared" si="22"/>
        <v/>
      </c>
      <c r="CB47" s="42" t="str">
        <f t="shared" si="23"/>
        <v/>
      </c>
      <c r="CC47" s="42" t="str">
        <f t="shared" si="23"/>
        <v/>
      </c>
      <c r="CD47" s="42" t="str">
        <f t="shared" si="23"/>
        <v/>
      </c>
      <c r="CE47" s="42" t="str">
        <f t="shared" si="23"/>
        <v/>
      </c>
      <c r="CF47" s="42" t="str">
        <f t="shared" si="23"/>
        <v/>
      </c>
      <c r="CG47" s="42" t="str">
        <f t="shared" si="23"/>
        <v/>
      </c>
      <c r="CH47" s="42" t="str">
        <f t="shared" si="23"/>
        <v/>
      </c>
      <c r="CI47" s="42" t="str">
        <f t="shared" si="23"/>
        <v/>
      </c>
      <c r="CJ47" s="42" t="str">
        <f t="shared" si="23"/>
        <v/>
      </c>
      <c r="CK47" s="42" t="str">
        <f t="shared" si="23"/>
        <v/>
      </c>
      <c r="CL47" s="42" t="str">
        <f t="shared" si="24"/>
        <v/>
      </c>
      <c r="CM47" s="42" t="str">
        <f t="shared" si="24"/>
        <v/>
      </c>
      <c r="CN47" s="42" t="str">
        <f t="shared" si="24"/>
        <v/>
      </c>
      <c r="CO47" s="42" t="str">
        <f t="shared" si="24"/>
        <v/>
      </c>
      <c r="CP47" s="42" t="str">
        <f t="shared" si="24"/>
        <v/>
      </c>
      <c r="CQ47" s="42" t="str">
        <f t="shared" si="24"/>
        <v/>
      </c>
      <c r="CR47" s="42" t="str">
        <f t="shared" si="24"/>
        <v/>
      </c>
      <c r="CS47" s="42" t="str">
        <f t="shared" si="24"/>
        <v/>
      </c>
      <c r="CT47" s="42" t="str">
        <f t="shared" si="24"/>
        <v/>
      </c>
      <c r="CU47" s="42" t="str">
        <f t="shared" si="24"/>
        <v/>
      </c>
      <c r="CV47" s="42" t="str">
        <f t="shared" si="25"/>
        <v/>
      </c>
      <c r="CW47" s="42" t="str">
        <f t="shared" si="25"/>
        <v/>
      </c>
      <c r="CX47" s="42" t="str">
        <f t="shared" si="25"/>
        <v/>
      </c>
      <c r="CY47" s="42" t="str">
        <f t="shared" si="25"/>
        <v/>
      </c>
      <c r="CZ47" s="42" t="str">
        <f t="shared" si="25"/>
        <v/>
      </c>
      <c r="DA47" s="43" t="str">
        <f t="shared" si="25"/>
        <v/>
      </c>
    </row>
    <row r="48" spans="1:105" ht="14.4" customHeight="1" x14ac:dyDescent="0.3">
      <c r="A48" s="32">
        <v>2</v>
      </c>
      <c r="B48" s="344"/>
      <c r="C48" s="355"/>
      <c r="D48" s="273" t="s">
        <v>215</v>
      </c>
      <c r="E48" s="274"/>
      <c r="F48" s="274"/>
      <c r="G48" s="227"/>
      <c r="H48" s="215"/>
      <c r="I48" s="256"/>
      <c r="J48" s="42" t="str">
        <f t="shared" si="16"/>
        <v/>
      </c>
      <c r="K48" s="42" t="str">
        <f t="shared" si="16"/>
        <v/>
      </c>
      <c r="L48" s="42" t="str">
        <f t="shared" si="16"/>
        <v/>
      </c>
      <c r="M48" s="42" t="str">
        <f t="shared" si="16"/>
        <v/>
      </c>
      <c r="N48" s="42" t="str">
        <f t="shared" si="16"/>
        <v/>
      </c>
      <c r="O48" s="42" t="str">
        <f t="shared" si="16"/>
        <v/>
      </c>
      <c r="P48" s="42" t="str">
        <f t="shared" si="16"/>
        <v/>
      </c>
      <c r="Q48" s="42" t="str">
        <f t="shared" si="16"/>
        <v/>
      </c>
      <c r="R48" s="42" t="str">
        <f t="shared" si="16"/>
        <v/>
      </c>
      <c r="S48" s="42" t="str">
        <f t="shared" si="16"/>
        <v/>
      </c>
      <c r="T48" s="42" t="str">
        <f t="shared" si="17"/>
        <v/>
      </c>
      <c r="U48" s="42" t="str">
        <f t="shared" si="17"/>
        <v/>
      </c>
      <c r="V48" s="42" t="str">
        <f t="shared" si="17"/>
        <v/>
      </c>
      <c r="W48" s="42" t="str">
        <f t="shared" si="17"/>
        <v/>
      </c>
      <c r="X48" s="42" t="str">
        <f t="shared" si="17"/>
        <v/>
      </c>
      <c r="Y48" s="42" t="str">
        <f t="shared" si="17"/>
        <v/>
      </c>
      <c r="Z48" s="42" t="str">
        <f t="shared" si="17"/>
        <v/>
      </c>
      <c r="AA48" s="42" t="str">
        <f t="shared" si="17"/>
        <v/>
      </c>
      <c r="AB48" s="42" t="str">
        <f t="shared" si="17"/>
        <v/>
      </c>
      <c r="AC48" s="42" t="str">
        <f t="shared" si="17"/>
        <v/>
      </c>
      <c r="AD48" s="42" t="str">
        <f t="shared" si="18"/>
        <v/>
      </c>
      <c r="AE48" s="42" t="str">
        <f t="shared" si="18"/>
        <v/>
      </c>
      <c r="AF48" s="42" t="str">
        <f t="shared" si="18"/>
        <v/>
      </c>
      <c r="AG48" s="42" t="str">
        <f t="shared" si="18"/>
        <v/>
      </c>
      <c r="AH48" s="42" t="str">
        <f t="shared" si="18"/>
        <v/>
      </c>
      <c r="AI48" s="42" t="str">
        <f t="shared" si="18"/>
        <v/>
      </c>
      <c r="AJ48" s="42" t="str">
        <f t="shared" si="18"/>
        <v/>
      </c>
      <c r="AK48" s="42" t="str">
        <f t="shared" si="18"/>
        <v/>
      </c>
      <c r="AL48" s="42" t="str">
        <f t="shared" si="18"/>
        <v/>
      </c>
      <c r="AM48" s="42" t="str">
        <f t="shared" si="18"/>
        <v/>
      </c>
      <c r="AN48" s="42" t="str">
        <f t="shared" si="19"/>
        <v/>
      </c>
      <c r="AO48" s="42" t="str">
        <f t="shared" si="19"/>
        <v/>
      </c>
      <c r="AP48" s="42" t="str">
        <f t="shared" si="19"/>
        <v/>
      </c>
      <c r="AQ48" s="42" t="str">
        <f t="shared" si="19"/>
        <v/>
      </c>
      <c r="AR48" s="42" t="str">
        <f t="shared" si="19"/>
        <v/>
      </c>
      <c r="AS48" s="42" t="str">
        <f t="shared" si="19"/>
        <v/>
      </c>
      <c r="AT48" s="42" t="str">
        <f t="shared" si="19"/>
        <v/>
      </c>
      <c r="AU48" s="42" t="str">
        <f t="shared" si="19"/>
        <v/>
      </c>
      <c r="AV48" s="42" t="str">
        <f t="shared" si="19"/>
        <v/>
      </c>
      <c r="AW48" s="42" t="str">
        <f t="shared" si="19"/>
        <v/>
      </c>
      <c r="AX48" s="42" t="str">
        <f t="shared" si="20"/>
        <v/>
      </c>
      <c r="AY48" s="42" t="str">
        <f t="shared" si="20"/>
        <v/>
      </c>
      <c r="AZ48" s="42" t="str">
        <f t="shared" si="20"/>
        <v/>
      </c>
      <c r="BA48" s="42" t="str">
        <f t="shared" si="20"/>
        <v/>
      </c>
      <c r="BB48" s="42" t="str">
        <f t="shared" si="20"/>
        <v/>
      </c>
      <c r="BC48" s="42" t="str">
        <f t="shared" si="20"/>
        <v/>
      </c>
      <c r="BD48" s="42" t="str">
        <f t="shared" si="20"/>
        <v/>
      </c>
      <c r="BE48" s="154" t="str">
        <f t="shared" si="20"/>
        <v/>
      </c>
      <c r="BF48" s="42" t="str">
        <f t="shared" si="20"/>
        <v/>
      </c>
      <c r="BG48" s="42" t="str">
        <f t="shared" si="20"/>
        <v/>
      </c>
      <c r="BH48" s="42" t="str">
        <f t="shared" si="21"/>
        <v/>
      </c>
      <c r="BI48" s="42" t="str">
        <f t="shared" si="21"/>
        <v/>
      </c>
      <c r="BJ48" s="42" t="str">
        <f t="shared" si="21"/>
        <v/>
      </c>
      <c r="BK48" s="42" t="str">
        <f t="shared" si="21"/>
        <v/>
      </c>
      <c r="BL48" s="42" t="str">
        <f t="shared" si="21"/>
        <v/>
      </c>
      <c r="BM48" s="42" t="str">
        <f t="shared" si="21"/>
        <v/>
      </c>
      <c r="BN48" s="42" t="str">
        <f t="shared" si="21"/>
        <v/>
      </c>
      <c r="BO48" s="42" t="str">
        <f t="shared" si="21"/>
        <v/>
      </c>
      <c r="BP48" s="42" t="str">
        <f t="shared" si="21"/>
        <v/>
      </c>
      <c r="BQ48" s="42" t="str">
        <f t="shared" si="21"/>
        <v/>
      </c>
      <c r="BR48" s="42" t="str">
        <f t="shared" si="22"/>
        <v/>
      </c>
      <c r="BS48" s="42" t="str">
        <f t="shared" si="22"/>
        <v/>
      </c>
      <c r="BT48" s="42" t="str">
        <f t="shared" si="22"/>
        <v/>
      </c>
      <c r="BU48" s="42" t="str">
        <f t="shared" si="22"/>
        <v/>
      </c>
      <c r="BV48" s="42" t="str">
        <f t="shared" si="22"/>
        <v/>
      </c>
      <c r="BW48" s="42" t="str">
        <f t="shared" si="22"/>
        <v/>
      </c>
      <c r="BX48" s="42" t="str">
        <f t="shared" si="22"/>
        <v/>
      </c>
      <c r="BY48" s="42" t="str">
        <f t="shared" si="22"/>
        <v/>
      </c>
      <c r="BZ48" s="42" t="str">
        <f t="shared" si="22"/>
        <v/>
      </c>
      <c r="CA48" s="42" t="str">
        <f t="shared" si="22"/>
        <v/>
      </c>
      <c r="CB48" s="42" t="str">
        <f t="shared" si="23"/>
        <v/>
      </c>
      <c r="CC48" s="42" t="str">
        <f t="shared" si="23"/>
        <v/>
      </c>
      <c r="CD48" s="42" t="str">
        <f t="shared" si="23"/>
        <v/>
      </c>
      <c r="CE48" s="42" t="str">
        <f t="shared" si="23"/>
        <v/>
      </c>
      <c r="CF48" s="42" t="str">
        <f t="shared" si="23"/>
        <v/>
      </c>
      <c r="CG48" s="42" t="str">
        <f t="shared" si="23"/>
        <v/>
      </c>
      <c r="CH48" s="42" t="str">
        <f t="shared" si="23"/>
        <v/>
      </c>
      <c r="CI48" s="42" t="str">
        <f t="shared" si="23"/>
        <v/>
      </c>
      <c r="CJ48" s="42" t="str">
        <f t="shared" si="23"/>
        <v/>
      </c>
      <c r="CK48" s="42" t="str">
        <f t="shared" si="23"/>
        <v/>
      </c>
      <c r="CL48" s="42" t="str">
        <f t="shared" si="24"/>
        <v/>
      </c>
      <c r="CM48" s="42" t="str">
        <f t="shared" si="24"/>
        <v/>
      </c>
      <c r="CN48" s="42" t="str">
        <f t="shared" si="24"/>
        <v/>
      </c>
      <c r="CO48" s="42" t="str">
        <f t="shared" si="24"/>
        <v/>
      </c>
      <c r="CP48" s="42" t="str">
        <f t="shared" si="24"/>
        <v/>
      </c>
      <c r="CQ48" s="42" t="str">
        <f t="shared" si="24"/>
        <v/>
      </c>
      <c r="CR48" s="42" t="str">
        <f t="shared" si="24"/>
        <v/>
      </c>
      <c r="CS48" s="42" t="str">
        <f t="shared" si="24"/>
        <v/>
      </c>
      <c r="CT48" s="42" t="str">
        <f t="shared" si="24"/>
        <v/>
      </c>
      <c r="CU48" s="42" t="str">
        <f t="shared" si="24"/>
        <v/>
      </c>
      <c r="CV48" s="42" t="str">
        <f t="shared" si="25"/>
        <v/>
      </c>
      <c r="CW48" s="42" t="str">
        <f t="shared" si="25"/>
        <v/>
      </c>
      <c r="CX48" s="42" t="str">
        <f t="shared" si="25"/>
        <v/>
      </c>
      <c r="CY48" s="42" t="str">
        <f t="shared" si="25"/>
        <v/>
      </c>
      <c r="CZ48" s="42" t="str">
        <f t="shared" si="25"/>
        <v/>
      </c>
      <c r="DA48" s="43" t="str">
        <f t="shared" si="25"/>
        <v/>
      </c>
    </row>
    <row r="49" spans="1:105" ht="14.4" customHeight="1" x14ac:dyDescent="0.3">
      <c r="A49" s="32">
        <v>3</v>
      </c>
      <c r="B49" s="344"/>
      <c r="C49" s="355"/>
      <c r="D49" s="273" t="s">
        <v>70</v>
      </c>
      <c r="E49" s="274"/>
      <c r="F49" s="274"/>
      <c r="G49" s="227"/>
      <c r="H49" s="215"/>
      <c r="I49" s="256"/>
      <c r="J49" s="42" t="str">
        <f t="shared" si="16"/>
        <v/>
      </c>
      <c r="K49" s="42" t="str">
        <f t="shared" si="16"/>
        <v/>
      </c>
      <c r="L49" s="42" t="str">
        <f t="shared" si="16"/>
        <v/>
      </c>
      <c r="M49" s="42" t="str">
        <f t="shared" si="16"/>
        <v/>
      </c>
      <c r="N49" s="42" t="str">
        <f t="shared" si="16"/>
        <v/>
      </c>
      <c r="O49" s="42" t="str">
        <f t="shared" si="16"/>
        <v/>
      </c>
      <c r="P49" s="42" t="str">
        <f t="shared" si="16"/>
        <v/>
      </c>
      <c r="Q49" s="42" t="str">
        <f t="shared" si="16"/>
        <v/>
      </c>
      <c r="R49" s="42" t="str">
        <f t="shared" si="16"/>
        <v/>
      </c>
      <c r="S49" s="42" t="str">
        <f t="shared" si="16"/>
        <v/>
      </c>
      <c r="T49" s="42" t="str">
        <f t="shared" si="17"/>
        <v/>
      </c>
      <c r="U49" s="42" t="str">
        <f t="shared" si="17"/>
        <v/>
      </c>
      <c r="V49" s="42" t="str">
        <f t="shared" si="17"/>
        <v/>
      </c>
      <c r="W49" s="42" t="str">
        <f t="shared" si="17"/>
        <v/>
      </c>
      <c r="X49" s="42" t="str">
        <f t="shared" si="17"/>
        <v/>
      </c>
      <c r="Y49" s="42" t="str">
        <f t="shared" si="17"/>
        <v/>
      </c>
      <c r="Z49" s="42" t="str">
        <f t="shared" si="17"/>
        <v/>
      </c>
      <c r="AA49" s="42" t="str">
        <f t="shared" si="17"/>
        <v/>
      </c>
      <c r="AB49" s="42" t="str">
        <f t="shared" si="17"/>
        <v/>
      </c>
      <c r="AC49" s="42" t="str">
        <f t="shared" si="17"/>
        <v/>
      </c>
      <c r="AD49" s="42" t="str">
        <f t="shared" si="18"/>
        <v/>
      </c>
      <c r="AE49" s="42" t="str">
        <f t="shared" si="18"/>
        <v/>
      </c>
      <c r="AF49" s="42" t="str">
        <f t="shared" si="18"/>
        <v/>
      </c>
      <c r="AG49" s="42" t="str">
        <f t="shared" si="18"/>
        <v/>
      </c>
      <c r="AH49" s="42" t="str">
        <f t="shared" si="18"/>
        <v/>
      </c>
      <c r="AI49" s="42" t="str">
        <f t="shared" si="18"/>
        <v/>
      </c>
      <c r="AJ49" s="42" t="str">
        <f t="shared" si="18"/>
        <v/>
      </c>
      <c r="AK49" s="42" t="str">
        <f t="shared" si="18"/>
        <v/>
      </c>
      <c r="AL49" s="42" t="str">
        <f t="shared" si="18"/>
        <v/>
      </c>
      <c r="AM49" s="42" t="str">
        <f t="shared" si="18"/>
        <v/>
      </c>
      <c r="AN49" s="42" t="str">
        <f t="shared" si="19"/>
        <v/>
      </c>
      <c r="AO49" s="42" t="str">
        <f t="shared" si="19"/>
        <v/>
      </c>
      <c r="AP49" s="42" t="str">
        <f t="shared" si="19"/>
        <v/>
      </c>
      <c r="AQ49" s="42" t="str">
        <f t="shared" si="19"/>
        <v/>
      </c>
      <c r="AR49" s="42" t="str">
        <f t="shared" si="19"/>
        <v/>
      </c>
      <c r="AS49" s="42" t="str">
        <f t="shared" si="19"/>
        <v/>
      </c>
      <c r="AT49" s="42" t="str">
        <f t="shared" si="19"/>
        <v/>
      </c>
      <c r="AU49" s="42" t="str">
        <f t="shared" si="19"/>
        <v/>
      </c>
      <c r="AV49" s="42" t="str">
        <f t="shared" si="19"/>
        <v/>
      </c>
      <c r="AW49" s="42" t="str">
        <f t="shared" si="19"/>
        <v/>
      </c>
      <c r="AX49" s="42" t="str">
        <f t="shared" si="20"/>
        <v/>
      </c>
      <c r="AY49" s="42" t="str">
        <f t="shared" si="20"/>
        <v/>
      </c>
      <c r="AZ49" s="42" t="str">
        <f t="shared" si="20"/>
        <v/>
      </c>
      <c r="BA49" s="42" t="str">
        <f t="shared" si="20"/>
        <v/>
      </c>
      <c r="BB49" s="42" t="str">
        <f t="shared" si="20"/>
        <v/>
      </c>
      <c r="BC49" s="42" t="str">
        <f t="shared" si="20"/>
        <v/>
      </c>
      <c r="BD49" s="42" t="str">
        <f t="shared" si="20"/>
        <v/>
      </c>
      <c r="BE49" s="154" t="str">
        <f t="shared" si="20"/>
        <v/>
      </c>
      <c r="BF49" s="42" t="str">
        <f t="shared" si="20"/>
        <v/>
      </c>
      <c r="BG49" s="42" t="str">
        <f t="shared" si="20"/>
        <v/>
      </c>
      <c r="BH49" s="42" t="str">
        <f t="shared" si="21"/>
        <v/>
      </c>
      <c r="BI49" s="42" t="str">
        <f t="shared" si="21"/>
        <v/>
      </c>
      <c r="BJ49" s="42" t="str">
        <f t="shared" si="21"/>
        <v/>
      </c>
      <c r="BK49" s="42" t="str">
        <f t="shared" si="21"/>
        <v/>
      </c>
      <c r="BL49" s="42" t="str">
        <f t="shared" si="21"/>
        <v/>
      </c>
      <c r="BM49" s="42" t="str">
        <f t="shared" si="21"/>
        <v/>
      </c>
      <c r="BN49" s="42" t="str">
        <f t="shared" si="21"/>
        <v/>
      </c>
      <c r="BO49" s="42" t="str">
        <f t="shared" si="21"/>
        <v/>
      </c>
      <c r="BP49" s="42" t="str">
        <f t="shared" si="21"/>
        <v/>
      </c>
      <c r="BQ49" s="42" t="str">
        <f t="shared" si="21"/>
        <v/>
      </c>
      <c r="BR49" s="42" t="str">
        <f t="shared" si="22"/>
        <v/>
      </c>
      <c r="BS49" s="42" t="str">
        <f t="shared" si="22"/>
        <v/>
      </c>
      <c r="BT49" s="42" t="str">
        <f t="shared" si="22"/>
        <v/>
      </c>
      <c r="BU49" s="42" t="str">
        <f t="shared" si="22"/>
        <v/>
      </c>
      <c r="BV49" s="42" t="str">
        <f t="shared" si="22"/>
        <v/>
      </c>
      <c r="BW49" s="42" t="str">
        <f t="shared" si="22"/>
        <v/>
      </c>
      <c r="BX49" s="42" t="str">
        <f t="shared" si="22"/>
        <v/>
      </c>
      <c r="BY49" s="42" t="str">
        <f t="shared" si="22"/>
        <v/>
      </c>
      <c r="BZ49" s="42" t="str">
        <f t="shared" si="22"/>
        <v/>
      </c>
      <c r="CA49" s="42" t="str">
        <f t="shared" si="22"/>
        <v/>
      </c>
      <c r="CB49" s="42" t="str">
        <f t="shared" si="23"/>
        <v/>
      </c>
      <c r="CC49" s="42" t="str">
        <f t="shared" si="23"/>
        <v/>
      </c>
      <c r="CD49" s="42" t="str">
        <f t="shared" si="23"/>
        <v/>
      </c>
      <c r="CE49" s="42" t="str">
        <f t="shared" si="23"/>
        <v/>
      </c>
      <c r="CF49" s="42" t="str">
        <f t="shared" si="23"/>
        <v/>
      </c>
      <c r="CG49" s="42" t="str">
        <f t="shared" si="23"/>
        <v/>
      </c>
      <c r="CH49" s="42" t="str">
        <f t="shared" si="23"/>
        <v/>
      </c>
      <c r="CI49" s="42" t="str">
        <f t="shared" si="23"/>
        <v/>
      </c>
      <c r="CJ49" s="42" t="str">
        <f t="shared" si="23"/>
        <v/>
      </c>
      <c r="CK49" s="42" t="str">
        <f t="shared" si="23"/>
        <v/>
      </c>
      <c r="CL49" s="42" t="str">
        <f t="shared" si="24"/>
        <v/>
      </c>
      <c r="CM49" s="42" t="str">
        <f t="shared" si="24"/>
        <v/>
      </c>
      <c r="CN49" s="42" t="str">
        <f t="shared" si="24"/>
        <v/>
      </c>
      <c r="CO49" s="42" t="str">
        <f t="shared" si="24"/>
        <v/>
      </c>
      <c r="CP49" s="42" t="str">
        <f t="shared" si="24"/>
        <v/>
      </c>
      <c r="CQ49" s="42" t="str">
        <f t="shared" si="24"/>
        <v/>
      </c>
      <c r="CR49" s="42" t="str">
        <f t="shared" si="24"/>
        <v/>
      </c>
      <c r="CS49" s="42" t="str">
        <f t="shared" si="24"/>
        <v/>
      </c>
      <c r="CT49" s="42" t="str">
        <f t="shared" si="24"/>
        <v/>
      </c>
      <c r="CU49" s="42" t="str">
        <f t="shared" si="24"/>
        <v/>
      </c>
      <c r="CV49" s="42" t="str">
        <f t="shared" si="25"/>
        <v/>
      </c>
      <c r="CW49" s="42" t="str">
        <f t="shared" si="25"/>
        <v/>
      </c>
      <c r="CX49" s="42" t="str">
        <f t="shared" si="25"/>
        <v/>
      </c>
      <c r="CY49" s="42" t="str">
        <f t="shared" si="25"/>
        <v/>
      </c>
      <c r="CZ49" s="42" t="str">
        <f t="shared" si="25"/>
        <v/>
      </c>
      <c r="DA49" s="43" t="str">
        <f t="shared" si="25"/>
        <v/>
      </c>
    </row>
    <row r="50" spans="1:105" ht="15" customHeight="1" thickBot="1" x14ac:dyDescent="0.35">
      <c r="A50" s="32">
        <v>4</v>
      </c>
      <c r="B50" s="344"/>
      <c r="C50" s="356"/>
      <c r="D50" s="330" t="s">
        <v>72</v>
      </c>
      <c r="E50" s="331"/>
      <c r="F50" s="331"/>
      <c r="G50" s="228"/>
      <c r="H50" s="216"/>
      <c r="I50" s="257"/>
      <c r="J50" s="44" t="str">
        <f t="shared" si="16"/>
        <v/>
      </c>
      <c r="K50" s="44" t="str">
        <f t="shared" si="16"/>
        <v/>
      </c>
      <c r="L50" s="44" t="str">
        <f t="shared" si="16"/>
        <v/>
      </c>
      <c r="M50" s="44" t="str">
        <f t="shared" si="16"/>
        <v/>
      </c>
      <c r="N50" s="44" t="str">
        <f t="shared" si="16"/>
        <v/>
      </c>
      <c r="O50" s="44" t="str">
        <f t="shared" si="16"/>
        <v/>
      </c>
      <c r="P50" s="44" t="str">
        <f t="shared" si="16"/>
        <v/>
      </c>
      <c r="Q50" s="44" t="str">
        <f t="shared" si="16"/>
        <v/>
      </c>
      <c r="R50" s="44" t="str">
        <f t="shared" si="16"/>
        <v/>
      </c>
      <c r="S50" s="44" t="str">
        <f t="shared" si="16"/>
        <v/>
      </c>
      <c r="T50" s="44" t="str">
        <f t="shared" si="17"/>
        <v/>
      </c>
      <c r="U50" s="44" t="str">
        <f t="shared" si="17"/>
        <v/>
      </c>
      <c r="V50" s="44" t="str">
        <f t="shared" si="17"/>
        <v/>
      </c>
      <c r="W50" s="44" t="str">
        <f t="shared" si="17"/>
        <v/>
      </c>
      <c r="X50" s="44" t="str">
        <f t="shared" si="17"/>
        <v/>
      </c>
      <c r="Y50" s="44" t="str">
        <f t="shared" si="17"/>
        <v/>
      </c>
      <c r="Z50" s="44" t="str">
        <f t="shared" si="17"/>
        <v/>
      </c>
      <c r="AA50" s="44" t="str">
        <f t="shared" si="17"/>
        <v/>
      </c>
      <c r="AB50" s="44" t="str">
        <f t="shared" si="17"/>
        <v/>
      </c>
      <c r="AC50" s="44" t="str">
        <f t="shared" si="17"/>
        <v/>
      </c>
      <c r="AD50" s="44" t="str">
        <f t="shared" si="18"/>
        <v/>
      </c>
      <c r="AE50" s="44" t="str">
        <f t="shared" si="18"/>
        <v/>
      </c>
      <c r="AF50" s="44" t="str">
        <f t="shared" si="18"/>
        <v/>
      </c>
      <c r="AG50" s="44" t="str">
        <f t="shared" si="18"/>
        <v/>
      </c>
      <c r="AH50" s="44" t="str">
        <f t="shared" si="18"/>
        <v/>
      </c>
      <c r="AI50" s="44" t="str">
        <f t="shared" si="18"/>
        <v/>
      </c>
      <c r="AJ50" s="44" t="str">
        <f t="shared" si="18"/>
        <v/>
      </c>
      <c r="AK50" s="44" t="str">
        <f t="shared" si="18"/>
        <v/>
      </c>
      <c r="AL50" s="44" t="str">
        <f t="shared" si="18"/>
        <v/>
      </c>
      <c r="AM50" s="44" t="str">
        <f t="shared" si="18"/>
        <v/>
      </c>
      <c r="AN50" s="44" t="str">
        <f t="shared" si="19"/>
        <v/>
      </c>
      <c r="AO50" s="44" t="str">
        <f t="shared" si="19"/>
        <v/>
      </c>
      <c r="AP50" s="44" t="str">
        <f t="shared" si="19"/>
        <v/>
      </c>
      <c r="AQ50" s="44" t="str">
        <f t="shared" si="19"/>
        <v/>
      </c>
      <c r="AR50" s="44" t="str">
        <f t="shared" si="19"/>
        <v/>
      </c>
      <c r="AS50" s="44" t="str">
        <f t="shared" si="19"/>
        <v/>
      </c>
      <c r="AT50" s="44" t="str">
        <f t="shared" si="19"/>
        <v/>
      </c>
      <c r="AU50" s="44" t="str">
        <f t="shared" si="19"/>
        <v/>
      </c>
      <c r="AV50" s="44" t="str">
        <f t="shared" si="19"/>
        <v/>
      </c>
      <c r="AW50" s="44" t="str">
        <f t="shared" si="19"/>
        <v/>
      </c>
      <c r="AX50" s="44" t="str">
        <f t="shared" si="20"/>
        <v/>
      </c>
      <c r="AY50" s="44" t="str">
        <f t="shared" si="20"/>
        <v/>
      </c>
      <c r="AZ50" s="44" t="str">
        <f t="shared" si="20"/>
        <v/>
      </c>
      <c r="BA50" s="44" t="str">
        <f t="shared" si="20"/>
        <v/>
      </c>
      <c r="BB50" s="44" t="str">
        <f t="shared" si="20"/>
        <v/>
      </c>
      <c r="BC50" s="44" t="str">
        <f t="shared" si="20"/>
        <v/>
      </c>
      <c r="BD50" s="44" t="str">
        <f t="shared" si="20"/>
        <v/>
      </c>
      <c r="BE50" s="155" t="str">
        <f t="shared" si="20"/>
        <v/>
      </c>
      <c r="BF50" s="44" t="str">
        <f t="shared" si="20"/>
        <v/>
      </c>
      <c r="BG50" s="44" t="str">
        <f t="shared" si="20"/>
        <v/>
      </c>
      <c r="BH50" s="44" t="str">
        <f t="shared" si="21"/>
        <v/>
      </c>
      <c r="BI50" s="44" t="str">
        <f t="shared" si="21"/>
        <v/>
      </c>
      <c r="BJ50" s="44" t="str">
        <f t="shared" si="21"/>
        <v/>
      </c>
      <c r="BK50" s="44" t="str">
        <f t="shared" si="21"/>
        <v/>
      </c>
      <c r="BL50" s="44" t="str">
        <f t="shared" si="21"/>
        <v/>
      </c>
      <c r="BM50" s="44" t="str">
        <f t="shared" si="21"/>
        <v/>
      </c>
      <c r="BN50" s="44" t="str">
        <f t="shared" si="21"/>
        <v/>
      </c>
      <c r="BO50" s="44" t="str">
        <f t="shared" si="21"/>
        <v/>
      </c>
      <c r="BP50" s="44" t="str">
        <f t="shared" si="21"/>
        <v/>
      </c>
      <c r="BQ50" s="44" t="str">
        <f t="shared" si="21"/>
        <v/>
      </c>
      <c r="BR50" s="44" t="str">
        <f t="shared" si="22"/>
        <v/>
      </c>
      <c r="BS50" s="44" t="str">
        <f t="shared" si="22"/>
        <v/>
      </c>
      <c r="BT50" s="44" t="str">
        <f t="shared" si="22"/>
        <v/>
      </c>
      <c r="BU50" s="44" t="str">
        <f t="shared" si="22"/>
        <v/>
      </c>
      <c r="BV50" s="44" t="str">
        <f t="shared" si="22"/>
        <v/>
      </c>
      <c r="BW50" s="44" t="str">
        <f t="shared" si="22"/>
        <v/>
      </c>
      <c r="BX50" s="44" t="str">
        <f t="shared" si="22"/>
        <v/>
      </c>
      <c r="BY50" s="44" t="str">
        <f t="shared" si="22"/>
        <v/>
      </c>
      <c r="BZ50" s="44" t="str">
        <f t="shared" si="22"/>
        <v/>
      </c>
      <c r="CA50" s="44" t="str">
        <f t="shared" si="22"/>
        <v/>
      </c>
      <c r="CB50" s="44" t="str">
        <f t="shared" si="23"/>
        <v/>
      </c>
      <c r="CC50" s="44" t="str">
        <f t="shared" si="23"/>
        <v/>
      </c>
      <c r="CD50" s="44" t="str">
        <f t="shared" si="23"/>
        <v/>
      </c>
      <c r="CE50" s="44" t="str">
        <f t="shared" si="23"/>
        <v/>
      </c>
      <c r="CF50" s="44" t="str">
        <f t="shared" si="23"/>
        <v/>
      </c>
      <c r="CG50" s="44" t="str">
        <f t="shared" si="23"/>
        <v/>
      </c>
      <c r="CH50" s="44" t="str">
        <f t="shared" si="23"/>
        <v/>
      </c>
      <c r="CI50" s="44" t="str">
        <f t="shared" si="23"/>
        <v/>
      </c>
      <c r="CJ50" s="44" t="str">
        <f t="shared" si="23"/>
        <v/>
      </c>
      <c r="CK50" s="44" t="str">
        <f t="shared" si="23"/>
        <v/>
      </c>
      <c r="CL50" s="44" t="str">
        <f t="shared" si="24"/>
        <v/>
      </c>
      <c r="CM50" s="44" t="str">
        <f t="shared" si="24"/>
        <v/>
      </c>
      <c r="CN50" s="44" t="str">
        <f t="shared" si="24"/>
        <v/>
      </c>
      <c r="CO50" s="44" t="str">
        <f t="shared" si="24"/>
        <v/>
      </c>
      <c r="CP50" s="44" t="str">
        <f t="shared" si="24"/>
        <v/>
      </c>
      <c r="CQ50" s="44" t="str">
        <f t="shared" si="24"/>
        <v/>
      </c>
      <c r="CR50" s="44" t="str">
        <f t="shared" si="24"/>
        <v/>
      </c>
      <c r="CS50" s="44" t="str">
        <f t="shared" si="24"/>
        <v/>
      </c>
      <c r="CT50" s="44" t="str">
        <f t="shared" si="24"/>
        <v/>
      </c>
      <c r="CU50" s="44" t="str">
        <f t="shared" si="24"/>
        <v/>
      </c>
      <c r="CV50" s="44" t="str">
        <f t="shared" si="25"/>
        <v/>
      </c>
      <c r="CW50" s="44" t="str">
        <f t="shared" si="25"/>
        <v/>
      </c>
      <c r="CX50" s="44" t="str">
        <f t="shared" si="25"/>
        <v/>
      </c>
      <c r="CY50" s="44" t="str">
        <f t="shared" si="25"/>
        <v/>
      </c>
      <c r="CZ50" s="44" t="str">
        <f t="shared" si="25"/>
        <v/>
      </c>
      <c r="DA50" s="45" t="str">
        <f t="shared" si="25"/>
        <v/>
      </c>
    </row>
    <row r="51" spans="1:105"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row>
    <row r="52" spans="1:105"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row>
    <row r="53" spans="1:105"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row>
    <row r="54" spans="1:105"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row>
    <row r="55" spans="1:105"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row>
    <row r="56" spans="1:10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row>
    <row r="57" spans="1:105"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row>
    <row r="58" spans="1:10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row>
    <row r="59" spans="1:105"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row>
    <row r="60" spans="1:105" hidden="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row>
    <row r="61" spans="1:105" hidden="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row>
    <row r="62" spans="1:105" hidden="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row>
    <row r="63" spans="1:105" hidden="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row>
    <row r="64" spans="1:105" hidden="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row>
    <row r="65" spans="1:104" hidden="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row>
    <row r="66" spans="1:104" hidden="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row>
    <row r="67" spans="1:104" hidden="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row>
    <row r="68" spans="1:104" hidden="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row>
    <row r="69" spans="1:104" hidden="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row>
    <row r="70" spans="1:104" hidden="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row>
    <row r="71" spans="1:104" hidden="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row>
    <row r="72" spans="1:104" hidden="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row>
    <row r="73" spans="1:104" hidden="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row>
    <row r="74" spans="1:104" hidden="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row>
    <row r="75" spans="1:104" hidden="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row>
    <row r="76" spans="1:104" hidden="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row>
    <row r="77" spans="1:104" hidden="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row>
    <row r="78" spans="1:104" hidden="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row>
    <row r="79" spans="1:104" hidden="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row>
    <row r="80" spans="1:104" hidden="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row>
    <row r="81" spans="1:104" hidden="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row>
    <row r="82" spans="1:104" hidden="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row>
    <row r="83" spans="1:104" hidden="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row>
    <row r="84" spans="1:104" hidden="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row>
    <row r="85" spans="1:104" hidden="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row>
    <row r="86" spans="1:104" hidden="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row>
    <row r="87" spans="1:104" hidden="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row>
    <row r="88" spans="1:104" hidden="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row>
    <row r="89" spans="1:104" hidden="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row>
    <row r="90" spans="1:104" hidden="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row>
  </sheetData>
  <sheetProtection algorithmName="SHA-512" hashValue="RMQ/S6QbWeWZX3GoAqK70aC/GIjTebHiaxvx+2ZSyIaKU1zj1Stw3jalIyNdcE8idFRcTfcvA0oGrcTu9Dzyrw==" saltValue="0nrmglF3aof028rv54tLiQ==" spinCount="100000" sheet="1" formatRows="0" insertRows="0"/>
  <mergeCells count="128">
    <mergeCell ref="D50:F50"/>
    <mergeCell ref="A7:I7"/>
    <mergeCell ref="D41:F41"/>
    <mergeCell ref="D42:F42"/>
    <mergeCell ref="D43:F43"/>
    <mergeCell ref="D44:G44"/>
    <mergeCell ref="B47:B50"/>
    <mergeCell ref="C26:E26"/>
    <mergeCell ref="C27:E27"/>
    <mergeCell ref="C28:E28"/>
    <mergeCell ref="C29:BE30"/>
    <mergeCell ref="C34:C46"/>
    <mergeCell ref="C47:C50"/>
    <mergeCell ref="AP32:AS32"/>
    <mergeCell ref="C31:C33"/>
    <mergeCell ref="G31:G33"/>
    <mergeCell ref="B26:B28"/>
    <mergeCell ref="D34:F34"/>
    <mergeCell ref="H31:H33"/>
    <mergeCell ref="D31:F33"/>
    <mergeCell ref="C16:E16"/>
    <mergeCell ref="A31:A33"/>
    <mergeCell ref="B31:B46"/>
    <mergeCell ref="D35:F35"/>
    <mergeCell ref="BC3:CX5"/>
    <mergeCell ref="BJ8:BM8"/>
    <mergeCell ref="BR8:BU8"/>
    <mergeCell ref="CT32:CW32"/>
    <mergeCell ref="CX32:DA32"/>
    <mergeCell ref="CT8:CW8"/>
    <mergeCell ref="CX8:DA8"/>
    <mergeCell ref="BN8:BQ8"/>
    <mergeCell ref="G8:G9"/>
    <mergeCell ref="J8:M8"/>
    <mergeCell ref="N8:Q8"/>
    <mergeCell ref="R8:U8"/>
    <mergeCell ref="V8:Y8"/>
    <mergeCell ref="Z8:AC8"/>
    <mergeCell ref="AD8:AG8"/>
    <mergeCell ref="AH8:AK8"/>
    <mergeCell ref="AL8:AO8"/>
    <mergeCell ref="AP8:AS8"/>
    <mergeCell ref="AT8:AW8"/>
    <mergeCell ref="AX8:BA8"/>
    <mergeCell ref="BV8:BY8"/>
    <mergeCell ref="BZ8:CC8"/>
    <mergeCell ref="CD8:CG8"/>
    <mergeCell ref="CH8:CK8"/>
    <mergeCell ref="D36:F36"/>
    <mergeCell ref="D37:F37"/>
    <mergeCell ref="D38:F38"/>
    <mergeCell ref="D39:F39"/>
    <mergeCell ref="D40:F40"/>
    <mergeCell ref="D45:F45"/>
    <mergeCell ref="D46:F46"/>
    <mergeCell ref="B10:B14"/>
    <mergeCell ref="B15:B17"/>
    <mergeCell ref="B18:B25"/>
    <mergeCell ref="C24:E24"/>
    <mergeCell ref="C25:E25"/>
    <mergeCell ref="C15:E15"/>
    <mergeCell ref="C8:F9"/>
    <mergeCell ref="A3:D3"/>
    <mergeCell ref="A4:D4"/>
    <mergeCell ref="A5:D5"/>
    <mergeCell ref="B8:B9"/>
    <mergeCell ref="C17:E17"/>
    <mergeCell ref="C11:E11"/>
    <mergeCell ref="C12:E12"/>
    <mergeCell ref="C13:E13"/>
    <mergeCell ref="C10:E10"/>
    <mergeCell ref="C14:E14"/>
    <mergeCell ref="E2:G2"/>
    <mergeCell ref="E3:G3"/>
    <mergeCell ref="E4:G4"/>
    <mergeCell ref="U2:AO2"/>
    <mergeCell ref="U3:AO3"/>
    <mergeCell ref="U4:AO4"/>
    <mergeCell ref="U5:AO5"/>
    <mergeCell ref="U6:AO6"/>
    <mergeCell ref="A1:BA1"/>
    <mergeCell ref="A6:D6"/>
    <mergeCell ref="B2:D2"/>
    <mergeCell ref="E5:G5"/>
    <mergeCell ref="J2:T2"/>
    <mergeCell ref="J3:T3"/>
    <mergeCell ref="J4:T4"/>
    <mergeCell ref="J5:T5"/>
    <mergeCell ref="J6:T6"/>
    <mergeCell ref="AR2:BB6"/>
    <mergeCell ref="E6:G6"/>
    <mergeCell ref="CL8:CO8"/>
    <mergeCell ref="CP8:CS8"/>
    <mergeCell ref="BF32:BI32"/>
    <mergeCell ref="BJ32:BM32"/>
    <mergeCell ref="BN32:BQ32"/>
    <mergeCell ref="BR32:BU32"/>
    <mergeCell ref="BV32:BY32"/>
    <mergeCell ref="BZ32:CC32"/>
    <mergeCell ref="CD32:CG32"/>
    <mergeCell ref="CH32:CK32"/>
    <mergeCell ref="CL32:CO32"/>
    <mergeCell ref="CP32:CS32"/>
    <mergeCell ref="BF8:BI8"/>
    <mergeCell ref="D47:F47"/>
    <mergeCell ref="D48:F48"/>
    <mergeCell ref="D49:F49"/>
    <mergeCell ref="AT32:AW32"/>
    <mergeCell ref="AX32:BA32"/>
    <mergeCell ref="BB32:BE32"/>
    <mergeCell ref="BB8:BE8"/>
    <mergeCell ref="C18:E18"/>
    <mergeCell ref="C19:E19"/>
    <mergeCell ref="C20:E20"/>
    <mergeCell ref="C21:E21"/>
    <mergeCell ref="H8:H9"/>
    <mergeCell ref="I8:I9"/>
    <mergeCell ref="I31:I33"/>
    <mergeCell ref="C22:E22"/>
    <mergeCell ref="C23:E23"/>
    <mergeCell ref="AH32:AK32"/>
    <mergeCell ref="AL32:AO32"/>
    <mergeCell ref="J32:M32"/>
    <mergeCell ref="N32:Q32"/>
    <mergeCell ref="R32:U32"/>
    <mergeCell ref="V32:Y32"/>
    <mergeCell ref="Z32:AC32"/>
    <mergeCell ref="AD32:AG32"/>
  </mergeCells>
  <phoneticPr fontId="23" type="noConversion"/>
  <conditionalFormatting sqref="G10:I28">
    <cfRule type="cellIs" priority="3" stopIfTrue="1" operator="equal">
      <formula>0</formula>
    </cfRule>
    <cfRule type="colorScale" priority="28">
      <colorScale>
        <cfvo type="min"/>
        <cfvo type="percentile" val="50"/>
        <cfvo type="max"/>
        <color rgb="FF00B050"/>
        <color rgb="FFFFFF00"/>
        <color rgb="FFC00000"/>
      </colorScale>
    </cfRule>
  </conditionalFormatting>
  <conditionalFormatting sqref="J34:BE34">
    <cfRule type="cellIs" priority="4" operator="equal">
      <formula>8</formula>
    </cfRule>
  </conditionalFormatting>
  <conditionalFormatting sqref="J10:DA28">
    <cfRule type="colorScale" priority="29">
      <colorScale>
        <cfvo type="min"/>
        <cfvo type="percentile" val="50"/>
        <cfvo type="max"/>
        <color theme="9" tint="0.59999389629810485"/>
        <color theme="7" tint="0.59999389629810485"/>
        <color theme="5" tint="0.39997558519241921"/>
      </colorScale>
    </cfRule>
    <cfRule type="expression" dxfId="10" priority="30">
      <formula>MOD(COLUMN(),2)</formula>
    </cfRule>
  </conditionalFormatting>
  <conditionalFormatting sqref="J34:DA50">
    <cfRule type="cellIs" dxfId="9" priority="8" operator="equal">
      <formula>0</formula>
    </cfRule>
    <cfRule type="cellIs" dxfId="8" priority="9" operator="equal">
      <formula>4</formula>
    </cfRule>
    <cfRule type="cellIs" dxfId="7" priority="10" operator="equal">
      <formula>3</formula>
    </cfRule>
    <cfRule type="cellIs" dxfId="6" priority="11" operator="equal">
      <formula>2</formula>
    </cfRule>
    <cfRule type="cellIs" dxfId="5" priority="12" operator="equal">
      <formula>1</formula>
    </cfRule>
    <cfRule type="expression" dxfId="4" priority="14">
      <formula>MOD(COLUMN(),2)</formula>
    </cfRule>
    <cfRule type="expression" dxfId="3" priority="15">
      <formula>MOD(COLUMN(),2)=0</formula>
    </cfRule>
  </conditionalFormatting>
  <dataValidations count="3">
    <dataValidation allowBlank="1" showInputMessage="1" showErrorMessage="1" prompt="Enter activity in column B, starting with cell B5_x000a_" sqref="D31" xr:uid="{D3397D9B-F3D7-4FEA-B2DE-C4FDD399F29B}"/>
    <dataValidation allowBlank="1" showInputMessage="1" showErrorMessage="1" prompt="Periods are charted from 1 to 60 starting from cell H4 to cell BO4 " sqref="J31:J32 R32 N32 V32 AH32 BB32 AD32 AL32 AP32 AT32 AX32 Z32 BF31:BF32 BN32 BJ32 BR32 CD32 CX32 BZ32 CH32 CL32 CP32 CT32 BV32 J7:J8 R8 N8 V8 AH8 BB8 AD8 AL8 AP8 AT8 AX8 Z8 BF7:BF8 BN8 BJ8 BR8 CD8 CX8 BZ8 CH8 CL8 CP8 CT8 BV8" xr:uid="{40F8D930-B5E6-47F8-BE35-9C1CCECC60B2}"/>
    <dataValidation allowBlank="1" showInputMessage="1" showErrorMessage="1" prompt="Enter actual duration period in column F, starting with cell F5" sqref="G31:I33" xr:uid="{19736A8F-4EDD-4B28-B673-35E787346AD8}"/>
  </dataValidations>
  <pageMargins left="0.7" right="0.7" top="0.75" bottom="0.75" header="0.3" footer="0.3"/>
  <pageSetup orientation="portrait" r:id="rId1"/>
  <headerFooter>
    <oddHeader>&amp;C&amp;"Aptos"&amp;10&amp;K008000 Confidential GREEN&amp;1#_x000D_</oddHeader>
  </headerFooter>
  <ignoredErrors>
    <ignoredError sqref="H35"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B98B-3730-4901-B941-C3BE6315E622}">
  <sheetPr>
    <tabColor rgb="FF00B050"/>
  </sheetPr>
  <dimension ref="A1:R37"/>
  <sheetViews>
    <sheetView zoomScale="80" zoomScaleNormal="80" workbookViewId="0">
      <pane xSplit="1" ySplit="2" topLeftCell="B19" activePane="bottomRight" state="frozen"/>
      <selection activeCell="G22" sqref="G22"/>
      <selection pane="topRight" activeCell="G22" sqref="G22"/>
      <selection pane="bottomLeft" activeCell="G22" sqref="G22"/>
      <selection pane="bottomRight" activeCell="E28" sqref="E28"/>
    </sheetView>
  </sheetViews>
  <sheetFormatPr defaultColWidth="0" defaultRowHeight="14.4" zeroHeight="1" outlineLevelRow="1" x14ac:dyDescent="0.3"/>
  <cols>
    <col min="1" max="1" width="2.88671875" customWidth="1"/>
    <col min="2" max="2" width="8.88671875" customWidth="1"/>
    <col min="3" max="3" width="29.21875" customWidth="1"/>
    <col min="4" max="4" width="14.109375" customWidth="1"/>
    <col min="5" max="5" width="9.5546875" bestFit="1" customWidth="1"/>
    <col min="6" max="6" width="11" customWidth="1"/>
    <col min="7" max="7" width="17.5546875" customWidth="1"/>
    <col min="8" max="8" width="19.6640625" customWidth="1"/>
    <col min="9" max="9" width="16.6640625" bestFit="1" customWidth="1"/>
    <col min="10" max="10" width="17.44140625" customWidth="1"/>
    <col min="11" max="11" width="12.6640625" customWidth="1"/>
    <col min="12" max="12" width="2.44140625" customWidth="1"/>
    <col min="13" max="13" width="18.5546875" customWidth="1"/>
    <col min="14" max="14" width="29.6640625" customWidth="1"/>
    <col min="15" max="15" width="13.33203125" customWidth="1"/>
    <col min="16" max="16" width="12.109375" bestFit="1" customWidth="1"/>
    <col min="17" max="17" width="15.109375" customWidth="1"/>
    <col min="18" max="16384" width="15.109375" hidden="1"/>
  </cols>
  <sheetData>
    <row r="1" spans="1:17" ht="23.4" thickBot="1" x14ac:dyDescent="0.45">
      <c r="A1" s="46"/>
      <c r="B1" s="106"/>
      <c r="C1" s="209"/>
      <c r="D1" s="209"/>
      <c r="E1" s="209"/>
      <c r="F1" s="209"/>
      <c r="G1" s="210"/>
      <c r="H1" s="210"/>
      <c r="I1" s="131" t="s">
        <v>111</v>
      </c>
      <c r="J1" s="131" t="s">
        <v>112</v>
      </c>
      <c r="K1" s="129"/>
      <c r="L1" s="105"/>
      <c r="M1" s="431" t="s">
        <v>161</v>
      </c>
      <c r="N1" s="431"/>
      <c r="O1" s="431"/>
      <c r="P1" s="431"/>
      <c r="Q1" s="31"/>
    </row>
    <row r="2" spans="1:17" ht="30" thickTop="1" thickBot="1" x14ac:dyDescent="0.35">
      <c r="A2" s="46"/>
      <c r="B2" s="132" t="s">
        <v>22</v>
      </c>
      <c r="C2" s="132" t="s">
        <v>23</v>
      </c>
      <c r="D2" s="132" t="s">
        <v>162</v>
      </c>
      <c r="E2" s="132" t="s">
        <v>113</v>
      </c>
      <c r="F2" s="132" t="s">
        <v>114</v>
      </c>
      <c r="G2" s="132" t="s">
        <v>68</v>
      </c>
      <c r="H2" s="133" t="s">
        <v>6</v>
      </c>
      <c r="I2" s="130" t="s">
        <v>163</v>
      </c>
      <c r="J2" s="130" t="s">
        <v>115</v>
      </c>
      <c r="K2" s="130" t="s">
        <v>0</v>
      </c>
      <c r="L2" s="105"/>
      <c r="M2" s="111" t="s">
        <v>162</v>
      </c>
      <c r="N2" s="112" t="s">
        <v>164</v>
      </c>
      <c r="O2" s="113" t="s">
        <v>116</v>
      </c>
      <c r="P2" s="114" t="s">
        <v>117</v>
      </c>
      <c r="Q2" s="31"/>
    </row>
    <row r="3" spans="1:17" ht="17.399999999999999" customHeight="1" outlineLevel="1" x14ac:dyDescent="0.3">
      <c r="A3" s="46"/>
      <c r="B3" s="47" t="s">
        <v>5</v>
      </c>
      <c r="C3" s="127" t="s">
        <v>3</v>
      </c>
      <c r="D3" s="48" t="s">
        <v>165</v>
      </c>
      <c r="E3" s="20"/>
      <c r="F3" s="20"/>
      <c r="G3" s="21"/>
      <c r="H3" s="23"/>
      <c r="I3" s="118">
        <f t="shared" ref="I3:I17" si="0">IF(D3="Domestic",($O$3+$O$4)*F3*G3*E3,($O$7+$O$8)*F3*G3*E3)</f>
        <v>0</v>
      </c>
      <c r="J3" s="119">
        <f>IF(D3="Domestic",($O$6*E3*F3)+(E3*F3*G3*$O$5),($O$10*E3*F3)+(E3*F3*G3*$O$9))</f>
        <v>0</v>
      </c>
      <c r="K3" s="120">
        <f t="shared" ref="K3:K17" si="1">SUM(I3:J3)</f>
        <v>0</v>
      </c>
      <c r="L3" s="137"/>
      <c r="M3" s="66" t="s">
        <v>165</v>
      </c>
      <c r="N3" s="67" t="s">
        <v>118</v>
      </c>
      <c r="O3" s="24">
        <v>3500</v>
      </c>
      <c r="P3" s="49"/>
      <c r="Q3" s="31"/>
    </row>
    <row r="4" spans="1:17" ht="17.399999999999999" customHeight="1" outlineLevel="1" x14ac:dyDescent="0.3">
      <c r="A4" s="46"/>
      <c r="B4" s="50" t="s">
        <v>5</v>
      </c>
      <c r="C4" s="128" t="s">
        <v>119</v>
      </c>
      <c r="D4" s="48" t="s">
        <v>165</v>
      </c>
      <c r="E4" s="20"/>
      <c r="F4" s="20"/>
      <c r="G4" s="21"/>
      <c r="H4" s="22"/>
      <c r="I4" s="121">
        <f t="shared" si="0"/>
        <v>0</v>
      </c>
      <c r="J4" s="122">
        <f>IF(D4="Domestic",($O$6*E4*F4)+(E4*F4*G4*$O$5),($O$10*E4*F4)+(E4*F4*G4*$O$9))</f>
        <v>0</v>
      </c>
      <c r="K4" s="123">
        <f t="shared" si="1"/>
        <v>0</v>
      </c>
      <c r="L4" s="105"/>
      <c r="M4" s="68" t="s">
        <v>165</v>
      </c>
      <c r="N4" s="69" t="s">
        <v>120</v>
      </c>
      <c r="O4" s="25">
        <v>1000</v>
      </c>
      <c r="P4" s="51"/>
      <c r="Q4" s="31"/>
    </row>
    <row r="5" spans="1:17" ht="17.399999999999999" customHeight="1" outlineLevel="1" x14ac:dyDescent="0.3">
      <c r="A5" s="46"/>
      <c r="B5" s="50" t="s">
        <v>5</v>
      </c>
      <c r="C5" s="128" t="s">
        <v>7</v>
      </c>
      <c r="D5" s="48" t="s">
        <v>165</v>
      </c>
      <c r="E5" s="20"/>
      <c r="F5" s="20"/>
      <c r="G5" s="21"/>
      <c r="H5" s="22"/>
      <c r="I5" s="121">
        <f t="shared" si="0"/>
        <v>0</v>
      </c>
      <c r="J5" s="122">
        <f t="shared" ref="J5:J17" si="2">IF(D5="Domestic",($O$6*E5*F5)+(E5*F5*G5*$O$5),($O$10*E5*F5)+(E5*F5*G5*$O$9))</f>
        <v>0</v>
      </c>
      <c r="K5" s="123">
        <f t="shared" si="1"/>
        <v>0</v>
      </c>
      <c r="L5" s="105"/>
      <c r="M5" s="68" t="s">
        <v>165</v>
      </c>
      <c r="N5" s="69" t="s">
        <v>121</v>
      </c>
      <c r="O5" s="25">
        <v>2000</v>
      </c>
      <c r="P5" s="51"/>
      <c r="Q5" s="31"/>
    </row>
    <row r="6" spans="1:17" ht="17.399999999999999" customHeight="1" outlineLevel="1" thickBot="1" x14ac:dyDescent="0.35">
      <c r="A6" s="46"/>
      <c r="B6" s="50" t="s">
        <v>5</v>
      </c>
      <c r="C6" s="128" t="s">
        <v>122</v>
      </c>
      <c r="D6" s="48" t="s">
        <v>165</v>
      </c>
      <c r="E6" s="20"/>
      <c r="F6" s="20"/>
      <c r="G6" s="21"/>
      <c r="H6" s="22"/>
      <c r="I6" s="121">
        <f t="shared" si="0"/>
        <v>0</v>
      </c>
      <c r="J6" s="122">
        <f t="shared" si="2"/>
        <v>0</v>
      </c>
      <c r="K6" s="123">
        <f t="shared" si="1"/>
        <v>0</v>
      </c>
      <c r="L6" s="105"/>
      <c r="M6" s="70" t="s">
        <v>165</v>
      </c>
      <c r="N6" s="71" t="s">
        <v>123</v>
      </c>
      <c r="O6" s="26">
        <v>18000</v>
      </c>
      <c r="P6" s="52"/>
      <c r="Q6" s="31"/>
    </row>
    <row r="7" spans="1:17" ht="17.399999999999999" customHeight="1" outlineLevel="1" x14ac:dyDescent="0.3">
      <c r="A7" s="46"/>
      <c r="B7" s="50" t="s">
        <v>5</v>
      </c>
      <c r="C7" s="128" t="s">
        <v>166</v>
      </c>
      <c r="D7" s="48" t="s">
        <v>165</v>
      </c>
      <c r="E7" s="20"/>
      <c r="F7" s="20"/>
      <c r="G7" s="21"/>
      <c r="H7" s="22"/>
      <c r="I7" s="121">
        <f t="shared" si="0"/>
        <v>0</v>
      </c>
      <c r="J7" s="122">
        <f t="shared" si="2"/>
        <v>0</v>
      </c>
      <c r="K7" s="123">
        <f t="shared" si="1"/>
        <v>0</v>
      </c>
      <c r="L7" s="105"/>
      <c r="M7" s="72" t="s">
        <v>167</v>
      </c>
      <c r="N7" s="67" t="s">
        <v>118</v>
      </c>
      <c r="O7" s="24">
        <v>8000</v>
      </c>
      <c r="P7" s="49"/>
      <c r="Q7" s="31"/>
    </row>
    <row r="8" spans="1:17" ht="17.399999999999999" customHeight="1" outlineLevel="1" x14ac:dyDescent="0.3">
      <c r="A8" s="46"/>
      <c r="B8" s="50" t="s">
        <v>5</v>
      </c>
      <c r="C8" s="128" t="s">
        <v>168</v>
      </c>
      <c r="D8" s="48" t="s">
        <v>165</v>
      </c>
      <c r="E8" s="20"/>
      <c r="F8" s="20"/>
      <c r="G8" s="21"/>
      <c r="H8" s="22"/>
      <c r="I8" s="121">
        <f t="shared" si="0"/>
        <v>0</v>
      </c>
      <c r="J8" s="122">
        <f t="shared" si="2"/>
        <v>0</v>
      </c>
      <c r="K8" s="123">
        <f t="shared" si="1"/>
        <v>0</v>
      </c>
      <c r="L8" s="105"/>
      <c r="M8" s="73" t="s">
        <v>167</v>
      </c>
      <c r="N8" s="69" t="s">
        <v>120</v>
      </c>
      <c r="O8" s="25">
        <v>3200</v>
      </c>
      <c r="P8" s="51"/>
      <c r="Q8" s="31"/>
    </row>
    <row r="9" spans="1:17" ht="17.399999999999999" customHeight="1" outlineLevel="1" x14ac:dyDescent="0.3">
      <c r="A9" s="46"/>
      <c r="B9" s="50" t="s">
        <v>5</v>
      </c>
      <c r="C9" s="128" t="s">
        <v>124</v>
      </c>
      <c r="D9" s="48" t="s">
        <v>165</v>
      </c>
      <c r="E9" s="20"/>
      <c r="F9" s="20"/>
      <c r="G9" s="21"/>
      <c r="H9" s="22"/>
      <c r="I9" s="121">
        <f t="shared" si="0"/>
        <v>0</v>
      </c>
      <c r="J9" s="122">
        <f t="shared" si="2"/>
        <v>0</v>
      </c>
      <c r="K9" s="123">
        <f t="shared" si="1"/>
        <v>0</v>
      </c>
      <c r="L9" s="105"/>
      <c r="M9" s="73" t="s">
        <v>167</v>
      </c>
      <c r="N9" s="69" t="s">
        <v>121</v>
      </c>
      <c r="O9" s="25">
        <v>4000</v>
      </c>
      <c r="P9" s="51"/>
      <c r="Q9" s="31"/>
    </row>
    <row r="10" spans="1:17" ht="17.399999999999999" customHeight="1" outlineLevel="1" thickBot="1" x14ac:dyDescent="0.35">
      <c r="A10" s="46"/>
      <c r="B10" s="50" t="s">
        <v>5</v>
      </c>
      <c r="C10" s="128" t="s">
        <v>2</v>
      </c>
      <c r="D10" s="48" t="s">
        <v>165</v>
      </c>
      <c r="E10" s="20"/>
      <c r="F10" s="20"/>
      <c r="G10" s="21"/>
      <c r="H10" s="22"/>
      <c r="I10" s="121">
        <f t="shared" si="0"/>
        <v>0</v>
      </c>
      <c r="J10" s="122">
        <f t="shared" si="2"/>
        <v>0</v>
      </c>
      <c r="K10" s="123">
        <f t="shared" si="1"/>
        <v>0</v>
      </c>
      <c r="L10" s="105"/>
      <c r="M10" s="74" t="s">
        <v>167</v>
      </c>
      <c r="N10" s="71" t="s">
        <v>123</v>
      </c>
      <c r="O10" s="26">
        <v>200000</v>
      </c>
      <c r="P10" s="52"/>
      <c r="Q10" s="31"/>
    </row>
    <row r="11" spans="1:17" ht="17.399999999999999" customHeight="1" outlineLevel="1" x14ac:dyDescent="0.3">
      <c r="A11" s="46"/>
      <c r="B11" s="50" t="s">
        <v>5</v>
      </c>
      <c r="C11" s="128" t="s">
        <v>24</v>
      </c>
      <c r="D11" s="48" t="s">
        <v>165</v>
      </c>
      <c r="E11" s="20"/>
      <c r="F11" s="20"/>
      <c r="G11" s="21"/>
      <c r="H11" s="22"/>
      <c r="I11" s="121">
        <f t="shared" si="0"/>
        <v>0</v>
      </c>
      <c r="J11" s="122">
        <f t="shared" si="2"/>
        <v>0</v>
      </c>
      <c r="K11" s="123">
        <f t="shared" si="1"/>
        <v>0</v>
      </c>
      <c r="L11" s="105"/>
      <c r="M11" s="105"/>
      <c r="N11" s="19"/>
      <c r="O11" s="19"/>
      <c r="P11" s="19"/>
      <c r="Q11" s="31"/>
    </row>
    <row r="12" spans="1:17" ht="17.399999999999999" customHeight="1" outlineLevel="1" x14ac:dyDescent="0.3">
      <c r="A12" s="46"/>
      <c r="B12" s="50" t="s">
        <v>5</v>
      </c>
      <c r="C12" s="128" t="s">
        <v>25</v>
      </c>
      <c r="D12" s="48" t="s">
        <v>165</v>
      </c>
      <c r="E12" s="20"/>
      <c r="F12" s="20"/>
      <c r="G12" s="21"/>
      <c r="H12" s="22"/>
      <c r="I12" s="121">
        <f t="shared" si="0"/>
        <v>0</v>
      </c>
      <c r="J12" s="122">
        <f t="shared" si="2"/>
        <v>0</v>
      </c>
      <c r="K12" s="123">
        <f t="shared" si="1"/>
        <v>0</v>
      </c>
      <c r="L12" s="105"/>
      <c r="M12" s="105"/>
      <c r="N12" s="432" t="s">
        <v>169</v>
      </c>
      <c r="O12" s="432"/>
      <c r="P12" s="432"/>
      <c r="Q12" s="31"/>
    </row>
    <row r="13" spans="1:17" ht="17.399999999999999" customHeight="1" outlineLevel="1" x14ac:dyDescent="0.3">
      <c r="A13" s="46"/>
      <c r="B13" s="50" t="s">
        <v>5</v>
      </c>
      <c r="C13" s="128" t="s">
        <v>26</v>
      </c>
      <c r="D13" s="48" t="s">
        <v>165</v>
      </c>
      <c r="E13" s="20"/>
      <c r="F13" s="20"/>
      <c r="G13" s="21"/>
      <c r="H13" s="22"/>
      <c r="I13" s="121">
        <f t="shared" si="0"/>
        <v>0</v>
      </c>
      <c r="J13" s="122">
        <f t="shared" si="2"/>
        <v>0</v>
      </c>
      <c r="K13" s="123">
        <f t="shared" si="1"/>
        <v>0</v>
      </c>
      <c r="L13" s="105"/>
      <c r="M13" s="31"/>
      <c r="N13" s="115" t="s">
        <v>164</v>
      </c>
      <c r="O13" s="116" t="s">
        <v>116</v>
      </c>
      <c r="P13" s="117" t="s">
        <v>117</v>
      </c>
      <c r="Q13" s="31"/>
    </row>
    <row r="14" spans="1:17" ht="17.399999999999999" customHeight="1" outlineLevel="1" x14ac:dyDescent="0.3">
      <c r="A14" s="46"/>
      <c r="B14" s="50" t="s">
        <v>5</v>
      </c>
      <c r="C14" s="110"/>
      <c r="D14" s="48" t="s">
        <v>165</v>
      </c>
      <c r="E14" s="20"/>
      <c r="F14" s="20"/>
      <c r="G14" s="21"/>
      <c r="H14" s="22"/>
      <c r="I14" s="121">
        <f t="shared" si="0"/>
        <v>0</v>
      </c>
      <c r="J14" s="122">
        <f t="shared" si="2"/>
        <v>0</v>
      </c>
      <c r="K14" s="123">
        <f t="shared" si="1"/>
        <v>0</v>
      </c>
      <c r="L14" s="105"/>
      <c r="M14" s="31"/>
      <c r="N14" s="75" t="s">
        <v>28</v>
      </c>
      <c r="O14" s="53">
        <v>500</v>
      </c>
      <c r="P14" s="54"/>
      <c r="Q14" s="31"/>
    </row>
    <row r="15" spans="1:17" ht="17.399999999999999" customHeight="1" outlineLevel="1" x14ac:dyDescent="0.3">
      <c r="A15" s="46"/>
      <c r="B15" s="50" t="s">
        <v>5</v>
      </c>
      <c r="C15" s="110"/>
      <c r="D15" s="48" t="s">
        <v>165</v>
      </c>
      <c r="E15" s="20"/>
      <c r="F15" s="20"/>
      <c r="G15" s="21"/>
      <c r="H15" s="22"/>
      <c r="I15" s="121">
        <f t="shared" si="0"/>
        <v>0</v>
      </c>
      <c r="J15" s="122">
        <f t="shared" si="2"/>
        <v>0</v>
      </c>
      <c r="K15" s="123">
        <f t="shared" si="1"/>
        <v>0</v>
      </c>
      <c r="L15" s="105"/>
      <c r="M15" s="31"/>
      <c r="N15" s="76" t="s">
        <v>29</v>
      </c>
      <c r="O15" s="55">
        <v>250</v>
      </c>
      <c r="P15" s="56"/>
      <c r="Q15" s="31"/>
    </row>
    <row r="16" spans="1:17" ht="17.399999999999999" customHeight="1" outlineLevel="1" x14ac:dyDescent="0.3">
      <c r="A16" s="46"/>
      <c r="B16" s="50" t="s">
        <v>5</v>
      </c>
      <c r="C16" s="48"/>
      <c r="D16" s="48" t="s">
        <v>165</v>
      </c>
      <c r="E16" s="20"/>
      <c r="F16" s="20"/>
      <c r="G16" s="21"/>
      <c r="H16" s="22"/>
      <c r="I16" s="121">
        <f t="shared" si="0"/>
        <v>0</v>
      </c>
      <c r="J16" s="122">
        <f t="shared" si="2"/>
        <v>0</v>
      </c>
      <c r="K16" s="123">
        <f t="shared" si="1"/>
        <v>0</v>
      </c>
      <c r="L16" s="105"/>
      <c r="M16" s="31"/>
      <c r="N16" s="75" t="s">
        <v>30</v>
      </c>
      <c r="O16" s="53">
        <v>750</v>
      </c>
      <c r="P16" s="54"/>
      <c r="Q16" s="31"/>
    </row>
    <row r="17" spans="1:18" ht="17.399999999999999" customHeight="1" outlineLevel="1" x14ac:dyDescent="0.3">
      <c r="A17" s="46"/>
      <c r="B17" s="50" t="s">
        <v>5</v>
      </c>
      <c r="C17" s="57"/>
      <c r="D17" s="48" t="s">
        <v>165</v>
      </c>
      <c r="E17" s="27"/>
      <c r="F17" s="27"/>
      <c r="G17" s="28"/>
      <c r="H17" s="29"/>
      <c r="I17" s="124">
        <f t="shared" si="0"/>
        <v>0</v>
      </c>
      <c r="J17" s="125">
        <f t="shared" si="2"/>
        <v>0</v>
      </c>
      <c r="K17" s="126">
        <f t="shared" si="1"/>
        <v>0</v>
      </c>
      <c r="L17" s="105"/>
      <c r="M17" s="31"/>
      <c r="N17" s="76" t="s">
        <v>31</v>
      </c>
      <c r="O17" s="55">
        <v>10000</v>
      </c>
      <c r="P17" s="56"/>
      <c r="Q17" s="31"/>
    </row>
    <row r="18" spans="1:18" x14ac:dyDescent="0.3">
      <c r="A18" s="46"/>
      <c r="B18" s="30"/>
      <c r="C18" s="30"/>
      <c r="D18" s="30"/>
      <c r="E18" s="30"/>
      <c r="F18" s="30"/>
      <c r="G18" s="30"/>
      <c r="H18" s="31"/>
      <c r="I18" s="31"/>
      <c r="J18" s="31"/>
      <c r="K18" s="31"/>
      <c r="L18" s="31"/>
      <c r="M18" s="31"/>
      <c r="N18" s="75" t="s">
        <v>32</v>
      </c>
      <c r="O18" s="53">
        <v>500</v>
      </c>
      <c r="P18" s="54"/>
      <c r="Q18" s="31"/>
    </row>
    <row r="19" spans="1:18" ht="31.2" x14ac:dyDescent="0.3">
      <c r="A19" s="46"/>
      <c r="B19" s="134" t="s">
        <v>22</v>
      </c>
      <c r="C19" s="135" t="s">
        <v>23</v>
      </c>
      <c r="D19" s="135" t="s">
        <v>126</v>
      </c>
      <c r="E19" s="135" t="s">
        <v>127</v>
      </c>
      <c r="F19" s="135" t="s">
        <v>6</v>
      </c>
      <c r="G19" s="136" t="s">
        <v>0</v>
      </c>
      <c r="H19" s="142" t="s">
        <v>170</v>
      </c>
      <c r="I19" s="143"/>
      <c r="J19" s="31"/>
      <c r="K19" s="31"/>
      <c r="L19" s="31"/>
      <c r="M19" s="31"/>
      <c r="N19" s="76" t="s">
        <v>33</v>
      </c>
      <c r="O19" s="55">
        <v>10000</v>
      </c>
      <c r="P19" s="56"/>
      <c r="Q19" s="31"/>
    </row>
    <row r="20" spans="1:18" ht="17.399999999999999" customHeight="1" outlineLevel="1" x14ac:dyDescent="0.3">
      <c r="A20" s="46"/>
      <c r="B20" s="58" t="s">
        <v>27</v>
      </c>
      <c r="C20" s="59" t="s">
        <v>28</v>
      </c>
      <c r="D20" s="20"/>
      <c r="E20" s="20"/>
      <c r="F20" s="21"/>
      <c r="G20" s="140">
        <f>D20*E20*$O$14</f>
        <v>0</v>
      </c>
      <c r="H20" s="144"/>
      <c r="I20" s="145"/>
      <c r="J20" s="31"/>
      <c r="K20" s="31"/>
      <c r="L20" s="31"/>
      <c r="M20" s="31"/>
      <c r="N20" s="75" t="s">
        <v>4</v>
      </c>
      <c r="O20" s="53">
        <v>5000</v>
      </c>
      <c r="P20" s="54"/>
      <c r="Q20" s="31"/>
    </row>
    <row r="21" spans="1:18" ht="17.399999999999999" customHeight="1" outlineLevel="1" x14ac:dyDescent="0.3">
      <c r="A21" s="46"/>
      <c r="B21" s="58" t="s">
        <v>27</v>
      </c>
      <c r="C21" s="59" t="s">
        <v>29</v>
      </c>
      <c r="D21" s="20"/>
      <c r="E21" s="20"/>
      <c r="F21" s="21"/>
      <c r="G21" s="140">
        <f>D21*E21*$O$15</f>
        <v>0</v>
      </c>
      <c r="H21" s="265" t="s">
        <v>171</v>
      </c>
      <c r="I21" s="64">
        <f>SUM(I3:I17)</f>
        <v>0</v>
      </c>
      <c r="J21" s="31"/>
      <c r="K21" s="31"/>
      <c r="L21" s="31"/>
      <c r="M21" s="31"/>
      <c r="N21" s="77" t="s">
        <v>34</v>
      </c>
      <c r="O21" s="60">
        <v>2500</v>
      </c>
      <c r="P21" s="56"/>
      <c r="Q21" s="31"/>
    </row>
    <row r="22" spans="1:18" ht="17.399999999999999" customHeight="1" outlineLevel="1" x14ac:dyDescent="0.3">
      <c r="A22" s="46"/>
      <c r="B22" s="58" t="s">
        <v>27</v>
      </c>
      <c r="C22" s="59" t="s">
        <v>30</v>
      </c>
      <c r="D22" s="20"/>
      <c r="E22" s="20"/>
      <c r="F22" s="21"/>
      <c r="G22" s="140">
        <f>D22*E22*$O$16</f>
        <v>0</v>
      </c>
      <c r="H22" s="265" t="s">
        <v>115</v>
      </c>
      <c r="I22" s="64">
        <f>SUM(J3:J17)</f>
        <v>0</v>
      </c>
      <c r="J22" s="137"/>
      <c r="K22" s="137"/>
      <c r="L22" s="105"/>
      <c r="M22" s="31"/>
      <c r="N22" s="75" t="s">
        <v>125</v>
      </c>
      <c r="O22" s="53">
        <v>10000</v>
      </c>
      <c r="P22" s="54"/>
      <c r="Q22" s="31"/>
    </row>
    <row r="23" spans="1:18" ht="17.399999999999999" customHeight="1" outlineLevel="1" x14ac:dyDescent="0.3">
      <c r="A23" s="46"/>
      <c r="B23" s="58" t="s">
        <v>27</v>
      </c>
      <c r="C23" s="59" t="s">
        <v>31</v>
      </c>
      <c r="D23" s="20"/>
      <c r="E23" s="20"/>
      <c r="F23" s="21"/>
      <c r="G23" s="140">
        <f>D23*E23*$O$17</f>
        <v>0</v>
      </c>
      <c r="H23" s="265" t="s">
        <v>128</v>
      </c>
      <c r="I23" s="64">
        <f>G27</f>
        <v>0</v>
      </c>
      <c r="J23" s="105"/>
      <c r="K23" s="138"/>
      <c r="L23" s="105"/>
      <c r="M23" s="31"/>
      <c r="N23" s="75" t="s">
        <v>172</v>
      </c>
      <c r="O23" s="53">
        <v>10001</v>
      </c>
      <c r="P23" s="54"/>
      <c r="Q23" s="31"/>
    </row>
    <row r="24" spans="1:18" ht="17.399999999999999" customHeight="1" outlineLevel="1" x14ac:dyDescent="0.3">
      <c r="A24" s="46"/>
      <c r="B24" s="58" t="s">
        <v>9</v>
      </c>
      <c r="C24" s="61" t="s">
        <v>32</v>
      </c>
      <c r="D24" s="20"/>
      <c r="E24" s="20"/>
      <c r="F24" s="21"/>
      <c r="G24" s="140">
        <f>D24*E24*$O$18</f>
        <v>0</v>
      </c>
      <c r="H24" s="265" t="s">
        <v>129</v>
      </c>
      <c r="I24" s="64">
        <f>SUM(G20:G22)</f>
        <v>0</v>
      </c>
      <c r="J24" s="31"/>
      <c r="K24" s="138"/>
      <c r="L24" s="105"/>
      <c r="M24" s="31"/>
      <c r="N24" s="31"/>
      <c r="O24" s="31"/>
      <c r="P24" s="31"/>
      <c r="Q24" s="31"/>
    </row>
    <row r="25" spans="1:18" ht="17.399999999999999" customHeight="1" outlineLevel="1" x14ac:dyDescent="0.3">
      <c r="A25" s="46"/>
      <c r="B25" s="58" t="s">
        <v>9</v>
      </c>
      <c r="C25" s="61" t="s">
        <v>33</v>
      </c>
      <c r="D25" s="20"/>
      <c r="E25" s="20"/>
      <c r="F25" s="21"/>
      <c r="G25" s="140">
        <f>D25*E25*$O$19</f>
        <v>0</v>
      </c>
      <c r="H25" s="265" t="s">
        <v>130</v>
      </c>
      <c r="I25" s="64">
        <f>G25+G26</f>
        <v>0</v>
      </c>
      <c r="J25" s="31"/>
      <c r="K25" s="139"/>
      <c r="L25" s="105"/>
      <c r="M25" s="31"/>
      <c r="N25" s="31"/>
      <c r="O25" s="31"/>
      <c r="P25" s="31"/>
      <c r="Q25" s="31"/>
    </row>
    <row r="26" spans="1:18" ht="17.399999999999999" customHeight="1" outlineLevel="1" x14ac:dyDescent="0.3">
      <c r="A26" s="46"/>
      <c r="B26" s="58" t="s">
        <v>9</v>
      </c>
      <c r="C26" s="61" t="s">
        <v>4</v>
      </c>
      <c r="D26" s="20"/>
      <c r="E26" s="20"/>
      <c r="F26" s="21"/>
      <c r="G26" s="140">
        <f>D26*E26*$O$20</f>
        <v>0</v>
      </c>
      <c r="H26" s="265" t="s">
        <v>131</v>
      </c>
      <c r="I26" s="64">
        <f>G23+G24+SUM(G28:G34)</f>
        <v>0</v>
      </c>
      <c r="J26" s="31"/>
      <c r="K26" s="31"/>
      <c r="L26" s="105"/>
      <c r="M26" s="31"/>
      <c r="N26" s="31"/>
      <c r="O26" s="31"/>
      <c r="P26" s="31"/>
      <c r="Q26" s="31"/>
    </row>
    <row r="27" spans="1:18" ht="17.399999999999999" customHeight="1" outlineLevel="1" thickBot="1" x14ac:dyDescent="0.35">
      <c r="A27" s="46"/>
      <c r="B27" s="58" t="s">
        <v>9</v>
      </c>
      <c r="C27" s="61" t="s">
        <v>34</v>
      </c>
      <c r="D27" s="20"/>
      <c r="E27" s="20"/>
      <c r="F27" s="21"/>
      <c r="G27" s="140">
        <f>D27*E27*$O$21</f>
        <v>0</v>
      </c>
      <c r="H27" s="266" t="s">
        <v>1</v>
      </c>
      <c r="I27" s="65">
        <f>SUM(I21:I26)</f>
        <v>0</v>
      </c>
      <c r="J27" s="31"/>
      <c r="K27" s="31"/>
      <c r="L27" s="105"/>
      <c r="M27" s="31"/>
      <c r="N27" s="31"/>
      <c r="O27" s="31"/>
      <c r="P27" s="31"/>
      <c r="Q27" s="31"/>
    </row>
    <row r="28" spans="1:18" ht="17.399999999999999" customHeight="1" outlineLevel="1" x14ac:dyDescent="0.3">
      <c r="A28" s="46"/>
      <c r="B28" s="58" t="s">
        <v>9</v>
      </c>
      <c r="C28" s="61" t="s">
        <v>125</v>
      </c>
      <c r="D28" s="20"/>
      <c r="E28" s="20"/>
      <c r="F28" s="21"/>
      <c r="G28" s="140">
        <f t="shared" ref="G28:G34" si="3">D28*E28*$O$22</f>
        <v>0</v>
      </c>
      <c r="H28" s="311" t="e" vm="2">
        <v>#VALUE!</v>
      </c>
      <c r="I28" s="31"/>
      <c r="J28" s="31"/>
      <c r="K28" s="31"/>
      <c r="L28" s="31"/>
      <c r="M28" s="31"/>
      <c r="N28" s="31"/>
      <c r="O28" s="31"/>
      <c r="P28" s="31"/>
      <c r="Q28" s="31"/>
      <c r="R28" s="188"/>
    </row>
    <row r="29" spans="1:18" ht="17.399999999999999" customHeight="1" outlineLevel="1" x14ac:dyDescent="0.3">
      <c r="A29" s="46"/>
      <c r="B29" s="58" t="s">
        <v>9</v>
      </c>
      <c r="C29" s="61" t="s">
        <v>172</v>
      </c>
      <c r="D29" s="20"/>
      <c r="E29" s="20"/>
      <c r="F29" s="21"/>
      <c r="G29" s="141">
        <f>D29*E29*$O$23</f>
        <v>0</v>
      </c>
      <c r="H29" s="312"/>
      <c r="I29" s="31"/>
      <c r="J29" s="31"/>
      <c r="K29" s="31"/>
      <c r="L29" s="31"/>
      <c r="M29" s="31"/>
      <c r="N29" s="31"/>
      <c r="O29" s="31"/>
      <c r="P29" s="31"/>
      <c r="Q29" s="31"/>
      <c r="R29" s="189"/>
    </row>
    <row r="30" spans="1:18" ht="17.399999999999999" customHeight="1" outlineLevel="1" x14ac:dyDescent="0.3">
      <c r="A30" s="46"/>
      <c r="B30" s="58" t="s">
        <v>9</v>
      </c>
      <c r="C30" s="61"/>
      <c r="D30" s="20"/>
      <c r="E30" s="20"/>
      <c r="F30" s="21"/>
      <c r="G30" s="141">
        <f t="shared" si="3"/>
        <v>0</v>
      </c>
      <c r="H30" s="312"/>
      <c r="I30" s="433" t="s">
        <v>333</v>
      </c>
      <c r="J30" s="433"/>
      <c r="K30" s="433"/>
      <c r="L30" s="433"/>
      <c r="M30" s="433"/>
      <c r="N30" s="433"/>
      <c r="O30" s="31"/>
      <c r="P30" s="31"/>
      <c r="Q30" s="31"/>
      <c r="R30" s="189"/>
    </row>
    <row r="31" spans="1:18" ht="17.399999999999999" customHeight="1" outlineLevel="1" x14ac:dyDescent="0.3">
      <c r="A31" s="46"/>
      <c r="B31" s="58" t="s">
        <v>9</v>
      </c>
      <c r="C31" s="61"/>
      <c r="D31" s="20"/>
      <c r="E31" s="20"/>
      <c r="F31" s="21"/>
      <c r="G31" s="141">
        <f t="shared" si="3"/>
        <v>0</v>
      </c>
      <c r="H31" s="312"/>
      <c r="I31" s="433"/>
      <c r="J31" s="433"/>
      <c r="K31" s="433"/>
      <c r="L31" s="433"/>
      <c r="M31" s="433"/>
      <c r="N31" s="433"/>
      <c r="O31" s="1"/>
      <c r="P31" s="1"/>
      <c r="Q31" s="1"/>
      <c r="R31" s="189"/>
    </row>
    <row r="32" spans="1:18" ht="17.399999999999999" customHeight="1" outlineLevel="1" thickBot="1" x14ac:dyDescent="0.35">
      <c r="A32" s="46"/>
      <c r="B32" s="58" t="s">
        <v>9</v>
      </c>
      <c r="C32" s="61"/>
      <c r="D32" s="20"/>
      <c r="E32" s="20"/>
      <c r="F32" s="21"/>
      <c r="G32" s="141">
        <f t="shared" si="3"/>
        <v>0</v>
      </c>
      <c r="H32" s="312"/>
      <c r="I32" s="1"/>
      <c r="J32" s="1"/>
      <c r="K32" s="1"/>
      <c r="L32" s="1"/>
      <c r="M32" s="1"/>
      <c r="N32" s="1"/>
      <c r="O32" s="1"/>
      <c r="P32" s="1"/>
      <c r="Q32" s="1"/>
      <c r="R32" s="190"/>
    </row>
    <row r="33" spans="1:17" ht="17.399999999999999" customHeight="1" outlineLevel="1" x14ac:dyDescent="0.3">
      <c r="A33" s="46"/>
      <c r="B33" s="58" t="s">
        <v>9</v>
      </c>
      <c r="C33" s="61"/>
      <c r="D33" s="20"/>
      <c r="E33" s="20"/>
      <c r="F33" s="21"/>
      <c r="G33" s="141">
        <f t="shared" si="3"/>
        <v>0</v>
      </c>
      <c r="H33" s="312"/>
      <c r="I33" s="1"/>
      <c r="J33" s="1"/>
      <c r="K33" s="1"/>
      <c r="L33" s="1"/>
      <c r="M33" s="1"/>
      <c r="N33" s="1"/>
      <c r="O33" s="1"/>
      <c r="P33" s="1"/>
      <c r="Q33" s="1"/>
    </row>
    <row r="34" spans="1:17" ht="17.399999999999999" customHeight="1" outlineLevel="1" x14ac:dyDescent="0.3">
      <c r="A34" s="46"/>
      <c r="B34" s="62" t="s">
        <v>9</v>
      </c>
      <c r="C34" s="63"/>
      <c r="D34" s="27"/>
      <c r="E34" s="27"/>
      <c r="F34" s="28"/>
      <c r="G34" s="141">
        <f t="shared" si="3"/>
        <v>0</v>
      </c>
      <c r="H34" s="312"/>
      <c r="I34" s="1"/>
      <c r="J34" s="1"/>
      <c r="K34" s="1"/>
      <c r="L34" s="1"/>
      <c r="M34" s="1"/>
      <c r="N34" s="1"/>
      <c r="O34" s="1"/>
      <c r="P34" s="1"/>
      <c r="Q34" s="1"/>
    </row>
    <row r="35" spans="1:17" x14ac:dyDescent="0.3">
      <c r="A35" s="31"/>
      <c r="B35" s="31"/>
      <c r="C35" s="31"/>
      <c r="D35" s="31"/>
      <c r="E35" s="31"/>
      <c r="F35" s="31"/>
      <c r="G35" s="31"/>
      <c r="H35" s="31"/>
      <c r="I35" s="1"/>
      <c r="J35" s="1"/>
      <c r="K35" s="1"/>
      <c r="L35" s="1"/>
      <c r="M35" s="1"/>
      <c r="N35" s="1"/>
      <c r="O35" s="1"/>
      <c r="P35" s="1"/>
      <c r="Q35" s="1"/>
    </row>
    <row r="36" spans="1:17" x14ac:dyDescent="0.3">
      <c r="A36" s="31"/>
      <c r="B36" s="31"/>
      <c r="C36" s="31"/>
      <c r="D36" s="31"/>
      <c r="E36" s="31"/>
      <c r="F36" s="31"/>
      <c r="G36" s="31"/>
      <c r="H36" s="31"/>
      <c r="I36" s="1"/>
      <c r="J36" s="1"/>
      <c r="K36" s="1"/>
      <c r="L36" s="1"/>
      <c r="M36" s="1"/>
      <c r="N36" s="1"/>
      <c r="O36" s="1"/>
      <c r="P36" s="1"/>
      <c r="Q36" s="1"/>
    </row>
    <row r="37" spans="1:17" x14ac:dyDescent="0.3">
      <c r="A37" s="31"/>
      <c r="B37" s="31"/>
      <c r="C37" s="31"/>
      <c r="D37" s="31"/>
      <c r="E37" s="31"/>
      <c r="F37" s="31"/>
      <c r="G37" s="31"/>
      <c r="H37" s="31"/>
      <c r="I37" s="1"/>
      <c r="J37" s="1"/>
      <c r="K37" s="1"/>
      <c r="L37" s="1"/>
      <c r="M37" s="1"/>
      <c r="N37" s="1"/>
      <c r="O37" s="1"/>
      <c r="P37" s="1"/>
      <c r="Q37" s="1"/>
    </row>
  </sheetData>
  <sheetProtection algorithmName="SHA-512" hashValue="LYQ8qvq1cy55RLufnnxaXaV/m7f7QdZw0nUnO49+osmYWW8MuDVH3Ldk0WLhreceFDP6bL8kh34xQztSDZbDsg==" saltValue="ccr/vDonNbYIyURAS+bPrA==" spinCount="100000" sheet="1" objects="1" scenarios="1" formatCells="0" formatColumns="0" formatRows="0"/>
  <mergeCells count="4">
    <mergeCell ref="M1:P1"/>
    <mergeCell ref="N12:P12"/>
    <mergeCell ref="H28:H34"/>
    <mergeCell ref="I30:N31"/>
  </mergeCells>
  <conditionalFormatting sqref="D3:D17">
    <cfRule type="cellIs" dxfId="2" priority="1" operator="equal">
      <formula>"International"</formula>
    </cfRule>
    <cfRule type="containsText" dxfId="1" priority="2" operator="containsText" text="Domestic">
      <formula>NOT(ISERROR(SEARCH("Domestic",D3)))</formula>
    </cfRule>
  </conditionalFormatting>
  <dataValidations count="1">
    <dataValidation type="list" showInputMessage="1" showErrorMessage="1" sqref="D3:D17" xr:uid="{D6315DC7-6534-4541-AF50-5F6633E46310}">
      <formula1>"Domestic,International"</formula1>
    </dataValidation>
  </dataValidations>
  <pageMargins left="0.7" right="0.7" top="0.75" bottom="0.75" header="0.3" footer="0.3"/>
  <headerFooter>
    <oddHeader>&amp;C&amp;"Aptos"&amp;10&amp;K008000 Confidential GREEN&amp;1#_x000D_</oddHeader>
  </headerFooter>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7A4B-B98C-49F8-B4C1-FD713A580527}">
  <sheetPr>
    <tabColor rgb="FF00B050"/>
  </sheetPr>
  <dimension ref="A1:I36"/>
  <sheetViews>
    <sheetView zoomScale="70" zoomScaleNormal="70" workbookViewId="0">
      <selection activeCell="E14" sqref="E14"/>
    </sheetView>
  </sheetViews>
  <sheetFormatPr defaultColWidth="0" defaultRowHeight="14.4" zeroHeight="1" x14ac:dyDescent="0.3"/>
  <cols>
    <col min="1" max="1" width="7.33203125" customWidth="1"/>
    <col min="2" max="2" width="106.33203125" customWidth="1"/>
    <col min="3" max="3" width="8.88671875" customWidth="1"/>
    <col min="4" max="4" width="7.33203125" customWidth="1"/>
    <col min="5" max="5" width="106.33203125" customWidth="1"/>
    <col min="6" max="6" width="8.33203125" customWidth="1"/>
    <col min="7" max="7" width="7.33203125" customWidth="1"/>
    <col min="8" max="8" width="106.33203125" customWidth="1"/>
    <col min="9" max="9" width="8.33203125" customWidth="1"/>
    <col min="10" max="16384" width="8.33203125" hidden="1"/>
  </cols>
  <sheetData>
    <row r="1" spans="1:8" ht="21.6" thickBot="1" x14ac:dyDescent="0.45">
      <c r="A1" s="436" t="s">
        <v>324</v>
      </c>
      <c r="B1" s="436"/>
      <c r="C1" s="436"/>
      <c r="D1" s="436"/>
      <c r="E1" s="436"/>
      <c r="F1" s="436"/>
      <c r="G1" s="436"/>
      <c r="H1" s="436"/>
    </row>
    <row r="2" spans="1:8" ht="32.4" customHeight="1" thickBot="1" x14ac:dyDescent="0.35">
      <c r="A2" s="434" t="s">
        <v>328</v>
      </c>
      <c r="B2" s="435"/>
      <c r="C2" s="195"/>
      <c r="D2" s="434" t="s">
        <v>329</v>
      </c>
      <c r="E2" s="435"/>
      <c r="F2" s="195"/>
      <c r="G2" s="434" t="s">
        <v>330</v>
      </c>
      <c r="H2" s="435"/>
    </row>
    <row r="3" spans="1:8" s="146" customFormat="1" ht="18" x14ac:dyDescent="0.35">
      <c r="A3" s="194" t="s">
        <v>132</v>
      </c>
      <c r="B3" s="193" t="s">
        <v>322</v>
      </c>
      <c r="D3" s="194" t="s">
        <v>132</v>
      </c>
      <c r="E3" s="193" t="s">
        <v>325</v>
      </c>
      <c r="G3" s="194" t="s">
        <v>132</v>
      </c>
      <c r="H3" s="193" t="s">
        <v>323</v>
      </c>
    </row>
    <row r="4" spans="1:8" ht="28.2" customHeight="1" x14ac:dyDescent="0.3">
      <c r="A4" s="191"/>
      <c r="B4" s="192"/>
      <c r="D4" s="191">
        <v>1</v>
      </c>
      <c r="E4" s="192"/>
      <c r="G4" s="191">
        <v>1</v>
      </c>
      <c r="H4" s="192"/>
    </row>
    <row r="5" spans="1:8" ht="28.2" customHeight="1" x14ac:dyDescent="0.3">
      <c r="A5" s="191"/>
      <c r="B5" s="192"/>
      <c r="D5" s="191">
        <v>2</v>
      </c>
      <c r="E5" s="192"/>
      <c r="G5" s="191">
        <v>2</v>
      </c>
      <c r="H5" s="192"/>
    </row>
    <row r="6" spans="1:8" ht="28.2" customHeight="1" x14ac:dyDescent="0.3">
      <c r="A6" s="191"/>
      <c r="B6" s="192"/>
      <c r="D6" s="191">
        <v>3</v>
      </c>
      <c r="E6" s="192"/>
      <c r="G6" s="191">
        <v>3</v>
      </c>
      <c r="H6" s="192"/>
    </row>
    <row r="7" spans="1:8" ht="28.2" customHeight="1" x14ac:dyDescent="0.3">
      <c r="A7" s="191"/>
      <c r="B7" s="192"/>
      <c r="D7" s="191">
        <v>4</v>
      </c>
      <c r="E7" s="192"/>
      <c r="G7" s="191">
        <v>4</v>
      </c>
      <c r="H7" s="192"/>
    </row>
    <row r="8" spans="1:8" ht="28.2" customHeight="1" x14ac:dyDescent="0.3">
      <c r="A8" s="191">
        <v>5</v>
      </c>
      <c r="B8" s="192"/>
      <c r="D8" s="191">
        <v>5</v>
      </c>
      <c r="E8" s="192"/>
      <c r="G8" s="191">
        <v>5</v>
      </c>
      <c r="H8" s="192"/>
    </row>
    <row r="9" spans="1:8" ht="28.2" customHeight="1" x14ac:dyDescent="0.3">
      <c r="A9" s="191">
        <v>6</v>
      </c>
      <c r="B9" s="192"/>
      <c r="D9" s="191">
        <v>6</v>
      </c>
      <c r="E9" s="192"/>
      <c r="G9" s="191">
        <v>6</v>
      </c>
      <c r="H9" s="192"/>
    </row>
    <row r="10" spans="1:8" ht="28.2" customHeight="1" x14ac:dyDescent="0.3">
      <c r="A10" s="191">
        <v>7</v>
      </c>
      <c r="B10" s="192"/>
      <c r="D10" s="191">
        <v>7</v>
      </c>
      <c r="E10" s="192"/>
      <c r="G10" s="191">
        <v>7</v>
      </c>
      <c r="H10" s="192"/>
    </row>
    <row r="11" spans="1:8" ht="28.2" customHeight="1" x14ac:dyDescent="0.3">
      <c r="A11" s="191">
        <v>8</v>
      </c>
      <c r="B11" s="192"/>
      <c r="D11" s="191">
        <v>8</v>
      </c>
      <c r="E11" s="192"/>
      <c r="G11" s="191">
        <v>8</v>
      </c>
      <c r="H11" s="192"/>
    </row>
    <row r="12" spans="1:8" ht="28.2" customHeight="1" x14ac:dyDescent="0.3">
      <c r="A12" s="191">
        <v>9</v>
      </c>
      <c r="B12" s="192"/>
      <c r="D12" s="191">
        <v>9</v>
      </c>
      <c r="E12" s="192"/>
      <c r="G12" s="191">
        <v>9</v>
      </c>
      <c r="H12" s="192"/>
    </row>
    <row r="13" spans="1:8" ht="28.2" customHeight="1" x14ac:dyDescent="0.3">
      <c r="A13" s="191">
        <v>10</v>
      </c>
      <c r="B13" s="192"/>
      <c r="D13" s="191">
        <v>10</v>
      </c>
      <c r="E13" s="192"/>
      <c r="G13" s="191">
        <v>10</v>
      </c>
      <c r="H13" s="192"/>
    </row>
    <row r="14" spans="1:8" ht="28.2" customHeight="1" x14ac:dyDescent="0.3">
      <c r="A14" s="191">
        <v>11</v>
      </c>
      <c r="B14" s="192"/>
      <c r="D14" s="191">
        <v>11</v>
      </c>
      <c r="E14" s="192"/>
      <c r="G14" s="191">
        <v>11</v>
      </c>
      <c r="H14" s="192"/>
    </row>
    <row r="15" spans="1:8" ht="28.2" customHeight="1" x14ac:dyDescent="0.3">
      <c r="A15" s="191">
        <v>12</v>
      </c>
      <c r="B15" s="192"/>
      <c r="D15" s="191">
        <v>12</v>
      </c>
      <c r="E15" s="192"/>
      <c r="G15" s="191">
        <v>12</v>
      </c>
      <c r="H15" s="192"/>
    </row>
    <row r="16" spans="1:8" ht="28.2" customHeight="1" x14ac:dyDescent="0.3">
      <c r="A16" s="191">
        <v>13</v>
      </c>
      <c r="B16" s="192"/>
      <c r="D16" s="191">
        <v>13</v>
      </c>
      <c r="E16" s="192"/>
      <c r="G16" s="191">
        <v>13</v>
      </c>
      <c r="H16" s="192"/>
    </row>
    <row r="17" spans="1:8" ht="28.2" customHeight="1" x14ac:dyDescent="0.3">
      <c r="A17" s="191">
        <v>14</v>
      </c>
      <c r="B17" s="192"/>
      <c r="D17" s="191">
        <v>14</v>
      </c>
      <c r="E17" s="192"/>
      <c r="G17" s="191">
        <v>14</v>
      </c>
      <c r="H17" s="192"/>
    </row>
    <row r="18" spans="1:8" ht="28.2" customHeight="1" x14ac:dyDescent="0.3">
      <c r="A18" s="191">
        <v>15</v>
      </c>
      <c r="B18" s="192"/>
      <c r="D18" s="191">
        <v>15</v>
      </c>
      <c r="E18" s="192"/>
      <c r="G18" s="191">
        <v>15</v>
      </c>
      <c r="H18" s="192"/>
    </row>
    <row r="19" spans="1:8" ht="28.2" customHeight="1" x14ac:dyDescent="0.3">
      <c r="A19" s="191">
        <v>16</v>
      </c>
      <c r="B19" s="192"/>
      <c r="D19" s="191">
        <v>16</v>
      </c>
      <c r="E19" s="192"/>
      <c r="G19" s="191">
        <v>16</v>
      </c>
      <c r="H19" s="192"/>
    </row>
    <row r="20" spans="1:8" ht="28.2" customHeight="1" x14ac:dyDescent="0.3">
      <c r="A20" s="191">
        <v>17</v>
      </c>
      <c r="B20" s="192"/>
      <c r="D20" s="191">
        <v>17</v>
      </c>
      <c r="E20" s="192"/>
      <c r="G20" s="191">
        <v>17</v>
      </c>
      <c r="H20" s="192"/>
    </row>
    <row r="21" spans="1:8" ht="28.2" customHeight="1" x14ac:dyDescent="0.3">
      <c r="A21" s="191">
        <v>18</v>
      </c>
      <c r="B21" s="192"/>
      <c r="D21" s="191">
        <v>18</v>
      </c>
      <c r="E21" s="192"/>
      <c r="G21" s="191">
        <v>18</v>
      </c>
      <c r="H21" s="192"/>
    </row>
    <row r="22" spans="1:8" ht="28.2" customHeight="1" x14ac:dyDescent="0.3">
      <c r="A22" s="191">
        <v>19</v>
      </c>
      <c r="B22" s="192"/>
      <c r="D22" s="191">
        <v>19</v>
      </c>
      <c r="E22" s="192"/>
      <c r="G22" s="191">
        <v>19</v>
      </c>
      <c r="H22" s="192"/>
    </row>
    <row r="23" spans="1:8" ht="28.2" customHeight="1" x14ac:dyDescent="0.3">
      <c r="A23" s="191">
        <v>20</v>
      </c>
      <c r="B23" s="192"/>
      <c r="D23" s="191">
        <v>20</v>
      </c>
      <c r="E23" s="192"/>
      <c r="G23" s="191">
        <v>20</v>
      </c>
      <c r="H23" s="192"/>
    </row>
    <row r="24" spans="1:8" ht="28.2" customHeight="1" x14ac:dyDescent="0.3">
      <c r="A24" s="191">
        <v>21</v>
      </c>
      <c r="B24" s="192"/>
      <c r="D24" s="191">
        <v>21</v>
      </c>
      <c r="E24" s="192"/>
      <c r="G24" s="191">
        <v>21</v>
      </c>
      <c r="H24" s="192"/>
    </row>
    <row r="25" spans="1:8" ht="28.2" customHeight="1" x14ac:dyDescent="0.3">
      <c r="A25" s="191">
        <v>22</v>
      </c>
      <c r="B25" s="192"/>
      <c r="D25" s="191">
        <v>22</v>
      </c>
      <c r="E25" s="192"/>
      <c r="G25" s="191">
        <v>22</v>
      </c>
      <c r="H25" s="192"/>
    </row>
    <row r="26" spans="1:8" ht="28.2" customHeight="1" x14ac:dyDescent="0.3">
      <c r="A26" s="191">
        <v>23</v>
      </c>
      <c r="B26" s="192"/>
      <c r="D26" s="191">
        <v>23</v>
      </c>
      <c r="E26" s="192"/>
      <c r="G26" s="191">
        <v>23</v>
      </c>
      <c r="H26" s="192"/>
    </row>
    <row r="27" spans="1:8" ht="28.2" customHeight="1" x14ac:dyDescent="0.3">
      <c r="A27" s="191">
        <v>24</v>
      </c>
      <c r="B27" s="192"/>
      <c r="D27" s="191">
        <v>24</v>
      </c>
      <c r="E27" s="192"/>
      <c r="G27" s="191">
        <v>24</v>
      </c>
      <c r="H27" s="192"/>
    </row>
    <row r="28" spans="1:8" ht="28.8" customHeight="1" x14ac:dyDescent="0.3">
      <c r="A28" s="191">
        <v>25</v>
      </c>
      <c r="B28" s="192"/>
      <c r="D28" s="191">
        <v>25</v>
      </c>
      <c r="E28" s="192"/>
      <c r="G28" s="191">
        <v>25</v>
      </c>
      <c r="H28" s="192"/>
    </row>
    <row r="29" spans="1:8" ht="28.8" customHeight="1" x14ac:dyDescent="0.3">
      <c r="A29" s="191">
        <v>26</v>
      </c>
      <c r="B29" s="192"/>
      <c r="D29" s="191">
        <v>26</v>
      </c>
      <c r="E29" s="192"/>
      <c r="G29" s="191">
        <v>26</v>
      </c>
      <c r="H29" s="192"/>
    </row>
    <row r="30" spans="1:8" ht="28.8" customHeight="1" x14ac:dyDescent="0.3">
      <c r="A30" s="191">
        <v>27</v>
      </c>
      <c r="B30" s="192"/>
      <c r="D30" s="191">
        <v>27</v>
      </c>
      <c r="E30" s="192"/>
      <c r="G30" s="191">
        <v>27</v>
      </c>
      <c r="H30" s="192"/>
    </row>
    <row r="31" spans="1:8" ht="28.8" customHeight="1" x14ac:dyDescent="0.3">
      <c r="A31" s="191">
        <v>28</v>
      </c>
      <c r="B31" s="192"/>
      <c r="D31" s="191">
        <v>28</v>
      </c>
      <c r="E31" s="192"/>
      <c r="G31" s="191">
        <v>28</v>
      </c>
      <c r="H31" s="192"/>
    </row>
    <row r="32" spans="1:8" ht="28.8" customHeight="1" x14ac:dyDescent="0.3">
      <c r="A32" s="191">
        <v>29</v>
      </c>
      <c r="B32" s="192"/>
      <c r="D32" s="191">
        <v>29</v>
      </c>
      <c r="E32" s="192"/>
      <c r="G32" s="191">
        <v>29</v>
      </c>
      <c r="H32" s="192"/>
    </row>
    <row r="33" spans="1:8" ht="28.8" customHeight="1" x14ac:dyDescent="0.3">
      <c r="A33" s="191">
        <v>30</v>
      </c>
      <c r="B33" s="192"/>
      <c r="D33" s="191">
        <v>30</v>
      </c>
      <c r="E33" s="192"/>
      <c r="G33" s="191">
        <v>30</v>
      </c>
      <c r="H33" s="192"/>
    </row>
    <row r="34" spans="1:8" x14ac:dyDescent="0.3">
      <c r="D34" s="191"/>
      <c r="E34" s="192"/>
    </row>
    <row r="35" spans="1:8" x14ac:dyDescent="0.3">
      <c r="D35" s="191"/>
      <c r="E35" s="192"/>
    </row>
    <row r="36" spans="1:8" hidden="1" x14ac:dyDescent="0.3">
      <c r="D36" s="191"/>
      <c r="E36" s="192"/>
    </row>
  </sheetData>
  <mergeCells count="4">
    <mergeCell ref="A2:B2"/>
    <mergeCell ref="D2:E2"/>
    <mergeCell ref="G2:H2"/>
    <mergeCell ref="A1:H1"/>
  </mergeCells>
  <pageMargins left="0.7" right="0.7" top="0.75" bottom="0.75" header="0.3" footer="0.3"/>
  <headerFooter>
    <oddHeader>&amp;C&amp;"Aptos"&amp;10&amp;K008000 Confidential GREEN&amp;1#_x000D_</oddHeader>
  </headerFooter>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5DDD-DFB5-48C3-A817-4410402E5C12}">
  <dimension ref="A1:L25"/>
  <sheetViews>
    <sheetView zoomScaleNormal="100" workbookViewId="0">
      <selection activeCell="E7" sqref="E7"/>
    </sheetView>
  </sheetViews>
  <sheetFormatPr defaultColWidth="0" defaultRowHeight="14.4" zeroHeight="1" x14ac:dyDescent="0.3"/>
  <cols>
    <col min="1" max="1" width="6" bestFit="1" customWidth="1"/>
    <col min="2" max="2" width="24.109375" customWidth="1"/>
    <col min="3" max="3" width="8.44140625" customWidth="1"/>
    <col min="4" max="4" width="39.44140625" bestFit="1" customWidth="1"/>
    <col min="5" max="8" width="8.33203125" style="2" customWidth="1"/>
    <col min="9" max="9" width="45.6640625" bestFit="1" customWidth="1"/>
    <col min="10" max="11" width="3.33203125" style="1" customWidth="1"/>
    <col min="12" max="12" width="2.6640625" style="1" customWidth="1"/>
    <col min="13" max="16384" width="8.88671875" hidden="1"/>
  </cols>
  <sheetData>
    <row r="1" spans="1:12" ht="21" x14ac:dyDescent="0.4">
      <c r="A1" s="436" t="s">
        <v>331</v>
      </c>
      <c r="B1" s="436"/>
      <c r="C1" s="436"/>
      <c r="D1" s="436"/>
      <c r="E1" s="436"/>
      <c r="F1" s="436"/>
      <c r="G1" s="436"/>
      <c r="H1" s="436"/>
      <c r="I1" s="436"/>
      <c r="J1" s="436"/>
      <c r="K1" s="436"/>
      <c r="L1"/>
    </row>
    <row r="2" spans="1:12" ht="21" x14ac:dyDescent="0.4">
      <c r="A2" s="156"/>
      <c r="B2" s="455" t="s">
        <v>23</v>
      </c>
      <c r="C2" s="455" t="s">
        <v>89</v>
      </c>
      <c r="D2" s="456" t="s">
        <v>288</v>
      </c>
      <c r="E2" s="454" t="s">
        <v>327</v>
      </c>
      <c r="F2" s="455"/>
      <c r="G2" s="455"/>
      <c r="H2" s="456"/>
      <c r="I2" s="454" t="s">
        <v>292</v>
      </c>
      <c r="J2" s="271"/>
      <c r="K2" s="271"/>
    </row>
    <row r="3" spans="1:12" ht="21.6" thickBot="1" x14ac:dyDescent="0.35">
      <c r="A3" s="156"/>
      <c r="B3" s="457"/>
      <c r="C3" s="457"/>
      <c r="D3" s="458"/>
      <c r="E3" s="158" t="s">
        <v>289</v>
      </c>
      <c r="F3" s="157" t="s">
        <v>8</v>
      </c>
      <c r="G3" s="157" t="s">
        <v>290</v>
      </c>
      <c r="H3" s="157" t="s">
        <v>291</v>
      </c>
      <c r="I3" s="459"/>
    </row>
    <row r="4" spans="1:12" ht="25.2" customHeight="1" x14ac:dyDescent="0.3">
      <c r="A4" s="437" t="s">
        <v>141</v>
      </c>
      <c r="B4" s="448" t="s">
        <v>293</v>
      </c>
      <c r="C4" s="159" t="s">
        <v>69</v>
      </c>
      <c r="D4" s="160" t="s">
        <v>294</v>
      </c>
      <c r="E4" s="159" t="s">
        <v>140</v>
      </c>
      <c r="F4" s="160" t="s">
        <v>139</v>
      </c>
      <c r="G4" s="160" t="s">
        <v>139</v>
      </c>
      <c r="H4" s="160" t="s">
        <v>139</v>
      </c>
      <c r="I4" s="161" t="s">
        <v>295</v>
      </c>
    </row>
    <row r="5" spans="1:12" ht="25.2" customHeight="1" thickBot="1" x14ac:dyDescent="0.35">
      <c r="A5" s="438"/>
      <c r="B5" s="449"/>
      <c r="C5" s="162" t="s">
        <v>200</v>
      </c>
      <c r="D5" s="162" t="s">
        <v>296</v>
      </c>
      <c r="E5" s="163" t="s">
        <v>140</v>
      </c>
      <c r="F5" s="162" t="s">
        <v>139</v>
      </c>
      <c r="G5" s="162" t="s">
        <v>139</v>
      </c>
      <c r="H5" s="162" t="s">
        <v>139</v>
      </c>
      <c r="I5" s="164"/>
    </row>
    <row r="6" spans="1:12" ht="25.2" customHeight="1" x14ac:dyDescent="0.3">
      <c r="A6" s="438"/>
      <c r="B6" s="450" t="s">
        <v>297</v>
      </c>
      <c r="C6" s="165" t="s">
        <v>69</v>
      </c>
      <c r="D6" s="166" t="s">
        <v>298</v>
      </c>
      <c r="E6" s="165"/>
      <c r="F6" s="166" t="s">
        <v>139</v>
      </c>
      <c r="G6" s="166" t="s">
        <v>139</v>
      </c>
      <c r="H6" s="166" t="s">
        <v>139</v>
      </c>
      <c r="I6" s="167"/>
    </row>
    <row r="7" spans="1:12" ht="25.2" customHeight="1" thickBot="1" x14ac:dyDescent="0.35">
      <c r="A7" s="438"/>
      <c r="B7" s="451"/>
      <c r="C7" s="168" t="s">
        <v>200</v>
      </c>
      <c r="D7" s="168" t="s">
        <v>299</v>
      </c>
      <c r="E7" s="169"/>
      <c r="F7" s="168" t="s">
        <v>139</v>
      </c>
      <c r="G7" s="168" t="s">
        <v>139</v>
      </c>
      <c r="H7" s="168" t="s">
        <v>139</v>
      </c>
      <c r="I7" s="170"/>
    </row>
    <row r="8" spans="1:12" ht="25.2" customHeight="1" x14ac:dyDescent="0.3">
      <c r="A8" s="438"/>
      <c r="B8" s="452" t="s">
        <v>300</v>
      </c>
      <c r="C8" s="159" t="s">
        <v>69</v>
      </c>
      <c r="D8" s="160" t="s">
        <v>301</v>
      </c>
      <c r="E8" s="159"/>
      <c r="F8" s="160"/>
      <c r="G8" s="160"/>
      <c r="H8" s="160"/>
      <c r="I8" s="171"/>
    </row>
    <row r="9" spans="1:12" ht="25.2" customHeight="1" thickBot="1" x14ac:dyDescent="0.35">
      <c r="A9" s="438"/>
      <c r="B9" s="449"/>
      <c r="C9" s="162" t="s">
        <v>200</v>
      </c>
      <c r="D9" s="162" t="s">
        <v>299</v>
      </c>
      <c r="E9" s="163"/>
      <c r="F9" s="162"/>
      <c r="G9" s="162"/>
      <c r="H9" s="162"/>
      <c r="I9" s="172"/>
    </row>
    <row r="10" spans="1:12" ht="25.2" customHeight="1" x14ac:dyDescent="0.3">
      <c r="A10" s="438"/>
      <c r="B10" s="450" t="s">
        <v>302</v>
      </c>
      <c r="C10" s="165" t="s">
        <v>69</v>
      </c>
      <c r="D10" s="166" t="s">
        <v>303</v>
      </c>
      <c r="E10" s="165"/>
      <c r="F10" s="166"/>
      <c r="G10" s="166"/>
      <c r="H10" s="166"/>
      <c r="I10" s="167"/>
    </row>
    <row r="11" spans="1:12" ht="25.2" customHeight="1" thickBot="1" x14ac:dyDescent="0.35">
      <c r="A11" s="439"/>
      <c r="B11" s="453"/>
      <c r="C11" s="173" t="s">
        <v>200</v>
      </c>
      <c r="D11" s="173" t="s">
        <v>304</v>
      </c>
      <c r="E11" s="174"/>
      <c r="F11" s="173"/>
      <c r="G11" s="173"/>
      <c r="H11" s="173"/>
      <c r="I11" s="175"/>
    </row>
    <row r="12" spans="1:12" ht="25.2" customHeight="1" x14ac:dyDescent="0.3">
      <c r="A12" s="437" t="s">
        <v>143</v>
      </c>
      <c r="B12" s="440" t="s">
        <v>305</v>
      </c>
      <c r="C12" s="159" t="s">
        <v>69</v>
      </c>
      <c r="D12" s="176" t="s">
        <v>306</v>
      </c>
      <c r="E12" s="159" t="s">
        <v>140</v>
      </c>
      <c r="F12" s="160" t="s">
        <v>139</v>
      </c>
      <c r="G12" s="160" t="s">
        <v>139</v>
      </c>
      <c r="H12" s="160" t="s">
        <v>139</v>
      </c>
      <c r="I12" s="161" t="s">
        <v>295</v>
      </c>
    </row>
    <row r="13" spans="1:12" ht="25.2" customHeight="1" thickBot="1" x14ac:dyDescent="0.35">
      <c r="A13" s="438"/>
      <c r="B13" s="441"/>
      <c r="C13" s="163" t="s">
        <v>200</v>
      </c>
      <c r="D13" s="177" t="s">
        <v>307</v>
      </c>
      <c r="E13" s="163" t="s">
        <v>140</v>
      </c>
      <c r="F13" s="162" t="s">
        <v>139</v>
      </c>
      <c r="G13" s="162" t="s">
        <v>139</v>
      </c>
      <c r="H13" s="162" t="s">
        <v>139</v>
      </c>
      <c r="I13" s="164"/>
    </row>
    <row r="14" spans="1:12" ht="25.2" customHeight="1" x14ac:dyDescent="0.3">
      <c r="A14" s="438"/>
      <c r="B14" s="441"/>
      <c r="C14" s="159" t="s">
        <v>69</v>
      </c>
      <c r="D14" s="176" t="s">
        <v>308</v>
      </c>
      <c r="E14" s="178"/>
      <c r="F14" s="176"/>
      <c r="G14" s="176"/>
      <c r="H14" s="176"/>
      <c r="I14" s="161"/>
    </row>
    <row r="15" spans="1:12" ht="25.2" customHeight="1" thickBot="1" x14ac:dyDescent="0.35">
      <c r="A15" s="438"/>
      <c r="B15" s="442"/>
      <c r="C15" s="163" t="s">
        <v>200</v>
      </c>
      <c r="D15" s="177" t="s">
        <v>309</v>
      </c>
      <c r="E15" s="163"/>
      <c r="F15" s="162"/>
      <c r="G15" s="162"/>
      <c r="H15" s="162"/>
      <c r="I15" s="172"/>
    </row>
    <row r="16" spans="1:12" ht="25.2" customHeight="1" x14ac:dyDescent="0.3">
      <c r="A16" s="438"/>
      <c r="B16" s="443" t="s">
        <v>310</v>
      </c>
      <c r="C16" s="165" t="s">
        <v>69</v>
      </c>
      <c r="D16" s="179" t="s">
        <v>311</v>
      </c>
      <c r="E16" s="165"/>
      <c r="F16" s="166"/>
      <c r="G16" s="166"/>
      <c r="H16" s="166"/>
      <c r="I16" s="180"/>
    </row>
    <row r="17" spans="1:9" ht="25.2" customHeight="1" thickBot="1" x14ac:dyDescent="0.35">
      <c r="A17" s="438"/>
      <c r="B17" s="444"/>
      <c r="C17" s="169" t="s">
        <v>200</v>
      </c>
      <c r="D17" s="181" t="s">
        <v>312</v>
      </c>
      <c r="E17" s="182"/>
      <c r="F17" s="181"/>
      <c r="G17" s="181"/>
      <c r="H17" s="181"/>
      <c r="I17" s="170"/>
    </row>
    <row r="18" spans="1:9" ht="25.2" customHeight="1" x14ac:dyDescent="0.3">
      <c r="A18" s="438"/>
      <c r="B18" s="444"/>
      <c r="C18" s="165" t="s">
        <v>69</v>
      </c>
      <c r="D18" s="179" t="s">
        <v>313</v>
      </c>
      <c r="E18" s="165"/>
      <c r="F18" s="166"/>
      <c r="G18" s="166"/>
      <c r="H18" s="166"/>
      <c r="I18" s="180"/>
    </row>
    <row r="19" spans="1:9" ht="25.2" customHeight="1" thickBot="1" x14ac:dyDescent="0.35">
      <c r="A19" s="438"/>
      <c r="B19" s="445"/>
      <c r="C19" s="169" t="s">
        <v>200</v>
      </c>
      <c r="D19" s="181" t="s">
        <v>314</v>
      </c>
      <c r="E19" s="169"/>
      <c r="F19" s="168"/>
      <c r="G19" s="168"/>
      <c r="H19" s="168"/>
      <c r="I19" s="183"/>
    </row>
    <row r="20" spans="1:9" ht="25.2" customHeight="1" x14ac:dyDescent="0.3">
      <c r="A20" s="438"/>
      <c r="B20" s="446" t="s">
        <v>315</v>
      </c>
      <c r="C20" s="159" t="s">
        <v>69</v>
      </c>
      <c r="D20" s="176" t="s">
        <v>316</v>
      </c>
      <c r="E20" s="159"/>
      <c r="F20" s="160"/>
      <c r="G20" s="160"/>
      <c r="H20" s="160"/>
      <c r="I20" s="171"/>
    </row>
    <row r="21" spans="1:9" ht="25.2" customHeight="1" thickBot="1" x14ac:dyDescent="0.35">
      <c r="A21" s="438"/>
      <c r="B21" s="441"/>
      <c r="C21" s="163" t="s">
        <v>200</v>
      </c>
      <c r="D21" s="177" t="s">
        <v>317</v>
      </c>
      <c r="E21" s="163"/>
      <c r="F21" s="162"/>
      <c r="G21" s="162"/>
      <c r="H21" s="162"/>
      <c r="I21" s="172"/>
    </row>
    <row r="22" spans="1:9" ht="25.2" customHeight="1" x14ac:dyDescent="0.3">
      <c r="A22" s="438"/>
      <c r="B22" s="441"/>
      <c r="C22" s="159" t="s">
        <v>69</v>
      </c>
      <c r="D22" s="176" t="s">
        <v>318</v>
      </c>
      <c r="E22" s="159"/>
      <c r="F22" s="160"/>
      <c r="G22" s="160"/>
      <c r="H22" s="160"/>
      <c r="I22" s="171"/>
    </row>
    <row r="23" spans="1:9" ht="25.2" customHeight="1" thickBot="1" x14ac:dyDescent="0.35">
      <c r="A23" s="439"/>
      <c r="B23" s="447"/>
      <c r="C23" s="185" t="s">
        <v>200</v>
      </c>
      <c r="D23" s="184" t="s">
        <v>317</v>
      </c>
      <c r="E23" s="185"/>
      <c r="F23" s="186"/>
      <c r="G23" s="186"/>
      <c r="H23" s="186"/>
      <c r="I23" s="187"/>
    </row>
    <row r="24" spans="1:9" x14ac:dyDescent="0.3">
      <c r="A24" s="1"/>
      <c r="B24" s="1"/>
      <c r="C24" s="1"/>
      <c r="D24" s="1"/>
      <c r="E24" s="162"/>
      <c r="F24" s="162"/>
      <c r="G24" s="162"/>
      <c r="H24" s="162"/>
      <c r="I24" s="1"/>
    </row>
    <row r="25" spans="1:9" x14ac:dyDescent="0.3">
      <c r="A25" s="1"/>
      <c r="B25" s="1"/>
      <c r="C25" s="1"/>
      <c r="D25" s="1"/>
      <c r="E25" s="162"/>
      <c r="F25" s="162"/>
      <c r="G25" s="162"/>
      <c r="H25" s="162"/>
      <c r="I25" s="1"/>
    </row>
  </sheetData>
  <mergeCells count="15">
    <mergeCell ref="A1:K1"/>
    <mergeCell ref="E2:H2"/>
    <mergeCell ref="B2:B3"/>
    <mergeCell ref="D2:D3"/>
    <mergeCell ref="C2:C3"/>
    <mergeCell ref="I2:I3"/>
    <mergeCell ref="A12:A23"/>
    <mergeCell ref="B12:B15"/>
    <mergeCell ref="B16:B19"/>
    <mergeCell ref="B20:B23"/>
    <mergeCell ref="A4:A11"/>
    <mergeCell ref="B4:B5"/>
    <mergeCell ref="B6:B7"/>
    <mergeCell ref="B8:B9"/>
    <mergeCell ref="B10:B11"/>
  </mergeCells>
  <pageMargins left="0.7" right="0.7" top="0.75" bottom="0.75" header="0.3" footer="0.3"/>
  <headerFooter>
    <oddHeader>&amp;C&amp;"Aptos"&amp;10&amp;K008000 Confidential GREEN&amp;1#_x000D_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68A6-BCD3-49BC-9876-27C56489E58D}">
  <sheetPr>
    <tabColor rgb="FF00B050"/>
  </sheetPr>
  <dimension ref="A1:K59"/>
  <sheetViews>
    <sheetView zoomScale="85" zoomScaleNormal="85" workbookViewId="0">
      <pane ySplit="2" topLeftCell="A3" activePane="bottomLeft" state="frozen"/>
      <selection activeCell="G22" sqref="G22"/>
      <selection pane="bottomLeft" activeCell="D12" sqref="D12"/>
    </sheetView>
  </sheetViews>
  <sheetFormatPr defaultColWidth="0" defaultRowHeight="14.4" zeroHeight="1" x14ac:dyDescent="0.3"/>
  <cols>
    <col min="1" max="1" width="6.77734375" customWidth="1"/>
    <col min="2" max="2" width="16.77734375" customWidth="1"/>
    <col min="3" max="3" width="29.33203125" customWidth="1"/>
    <col min="4" max="4" width="91.6640625" customWidth="1"/>
    <col min="5" max="5" width="9.5546875" bestFit="1" customWidth="1"/>
    <col min="6" max="6" width="10.5546875" bestFit="1" customWidth="1"/>
    <col min="7" max="7" width="11.5546875" customWidth="1"/>
    <col min="8" max="8" width="9.109375" customWidth="1"/>
    <col min="9" max="16384" width="9.109375" hidden="1"/>
  </cols>
  <sheetData>
    <row r="1" spans="1:11" ht="21" x14ac:dyDescent="0.4">
      <c r="A1" s="436" t="s">
        <v>332</v>
      </c>
      <c r="B1" s="436"/>
      <c r="C1" s="436"/>
      <c r="D1" s="436"/>
      <c r="E1" s="436"/>
      <c r="F1" s="436"/>
      <c r="G1" s="436"/>
      <c r="H1" s="436"/>
      <c r="I1" s="436"/>
      <c r="J1" s="436"/>
      <c r="K1" s="436"/>
    </row>
    <row r="2" spans="1:11" s="1" customFormat="1" ht="18" x14ac:dyDescent="0.3">
      <c r="A2" s="148" t="s">
        <v>132</v>
      </c>
      <c r="B2" s="149" t="s">
        <v>133</v>
      </c>
      <c r="C2" s="149" t="s">
        <v>74</v>
      </c>
      <c r="D2" s="149" t="s">
        <v>23</v>
      </c>
      <c r="E2" s="149" t="s">
        <v>140</v>
      </c>
      <c r="F2" s="149" t="s">
        <v>139</v>
      </c>
      <c r="G2" s="149" t="s">
        <v>287</v>
      </c>
      <c r="H2" s="270"/>
    </row>
    <row r="3" spans="1:11" s="1" customFormat="1" x14ac:dyDescent="0.3">
      <c r="A3" s="267">
        <v>1</v>
      </c>
      <c r="B3" s="268" t="s">
        <v>138</v>
      </c>
      <c r="C3" s="268" t="s">
        <v>249</v>
      </c>
      <c r="D3" s="268" t="s">
        <v>250</v>
      </c>
      <c r="E3" s="269" t="s">
        <v>134</v>
      </c>
      <c r="F3" s="269" t="s">
        <v>135</v>
      </c>
      <c r="G3" s="269" t="s">
        <v>136</v>
      </c>
      <c r="H3" s="270"/>
    </row>
    <row r="4" spans="1:11" s="1" customFormat="1" x14ac:dyDescent="0.3">
      <c r="A4" s="267">
        <v>2</v>
      </c>
      <c r="B4" s="268" t="s">
        <v>138</v>
      </c>
      <c r="C4" s="268" t="s">
        <v>145</v>
      </c>
      <c r="D4" s="268" t="s">
        <v>251</v>
      </c>
      <c r="E4" s="269" t="s">
        <v>134</v>
      </c>
      <c r="F4" s="269" t="s">
        <v>136</v>
      </c>
      <c r="G4" s="269" t="s">
        <v>137</v>
      </c>
      <c r="H4" s="270"/>
    </row>
    <row r="5" spans="1:11" s="1" customFormat="1" x14ac:dyDescent="0.3">
      <c r="A5" s="267">
        <v>3</v>
      </c>
      <c r="B5" s="268" t="s">
        <v>138</v>
      </c>
      <c r="C5" s="268" t="s">
        <v>252</v>
      </c>
      <c r="D5" s="268" t="s">
        <v>253</v>
      </c>
      <c r="E5" s="269" t="s">
        <v>136</v>
      </c>
      <c r="F5" s="269" t="s">
        <v>135</v>
      </c>
      <c r="G5" s="269" t="s">
        <v>134</v>
      </c>
      <c r="H5" s="270"/>
    </row>
    <row r="6" spans="1:11" s="1" customFormat="1" x14ac:dyDescent="0.3">
      <c r="A6" s="267">
        <v>4</v>
      </c>
      <c r="B6" s="268" t="s">
        <v>138</v>
      </c>
      <c r="C6" s="268" t="s">
        <v>145</v>
      </c>
      <c r="D6" s="268" t="s">
        <v>148</v>
      </c>
      <c r="E6" s="269" t="s">
        <v>134</v>
      </c>
      <c r="F6" s="269" t="s">
        <v>136</v>
      </c>
      <c r="G6" s="269" t="s">
        <v>135</v>
      </c>
      <c r="H6" s="270"/>
    </row>
    <row r="7" spans="1:11" s="1" customFormat="1" x14ac:dyDescent="0.3">
      <c r="A7" s="267">
        <v>5</v>
      </c>
      <c r="B7" s="268" t="s">
        <v>78</v>
      </c>
      <c r="C7" s="268" t="s">
        <v>249</v>
      </c>
      <c r="D7" s="268" t="s">
        <v>254</v>
      </c>
      <c r="E7" s="269" t="s">
        <v>134</v>
      </c>
      <c r="F7" s="269" t="s">
        <v>135</v>
      </c>
      <c r="G7" s="269" t="s">
        <v>136</v>
      </c>
      <c r="H7" s="270"/>
    </row>
    <row r="8" spans="1:11" s="1" customFormat="1" x14ac:dyDescent="0.3">
      <c r="A8" s="267">
        <v>6</v>
      </c>
      <c r="B8" s="268" t="s">
        <v>78</v>
      </c>
      <c r="C8" s="268" t="s">
        <v>145</v>
      </c>
      <c r="D8" s="268" t="s">
        <v>146</v>
      </c>
      <c r="E8" s="269" t="s">
        <v>136</v>
      </c>
      <c r="F8" s="269" t="s">
        <v>135</v>
      </c>
      <c r="G8" s="269" t="s">
        <v>134</v>
      </c>
      <c r="H8" s="270"/>
    </row>
    <row r="9" spans="1:11" s="1" customFormat="1" x14ac:dyDescent="0.3">
      <c r="A9" s="267">
        <v>7</v>
      </c>
      <c r="B9" s="268" t="s">
        <v>78</v>
      </c>
      <c r="C9" s="268" t="s">
        <v>141</v>
      </c>
      <c r="D9" s="268" t="s">
        <v>255</v>
      </c>
      <c r="E9" s="269" t="s">
        <v>136</v>
      </c>
      <c r="F9" s="269" t="s">
        <v>136</v>
      </c>
      <c r="G9" s="269" t="s">
        <v>134</v>
      </c>
      <c r="H9" s="270"/>
    </row>
    <row r="10" spans="1:11" s="1" customFormat="1" x14ac:dyDescent="0.3">
      <c r="A10" s="267">
        <v>8</v>
      </c>
      <c r="B10" s="268" t="s">
        <v>78</v>
      </c>
      <c r="C10" s="268" t="s">
        <v>142</v>
      </c>
      <c r="D10" s="268" t="s">
        <v>256</v>
      </c>
      <c r="E10" s="269" t="s">
        <v>136</v>
      </c>
      <c r="F10" s="269" t="s">
        <v>136</v>
      </c>
      <c r="G10" s="269" t="s">
        <v>134</v>
      </c>
      <c r="H10" s="270"/>
    </row>
    <row r="11" spans="1:11" s="1" customFormat="1" x14ac:dyDescent="0.3">
      <c r="A11" s="267">
        <v>9</v>
      </c>
      <c r="B11" s="268" t="s">
        <v>78</v>
      </c>
      <c r="C11" s="268" t="s">
        <v>143</v>
      </c>
      <c r="D11" s="268" t="s">
        <v>257</v>
      </c>
      <c r="E11" s="269" t="s">
        <v>134</v>
      </c>
      <c r="F11" s="269" t="s">
        <v>135</v>
      </c>
      <c r="G11" s="269" t="s">
        <v>136</v>
      </c>
      <c r="H11" s="270"/>
    </row>
    <row r="12" spans="1:11" s="1" customFormat="1" x14ac:dyDescent="0.3">
      <c r="A12" s="267">
        <v>10</v>
      </c>
      <c r="B12" s="268" t="s">
        <v>78</v>
      </c>
      <c r="C12" s="268" t="s">
        <v>143</v>
      </c>
      <c r="D12" s="268" t="s">
        <v>258</v>
      </c>
      <c r="E12" s="269" t="s">
        <v>134</v>
      </c>
      <c r="F12" s="269" t="s">
        <v>135</v>
      </c>
      <c r="G12" s="269" t="s">
        <v>136</v>
      </c>
      <c r="H12" s="270"/>
    </row>
    <row r="13" spans="1:11" s="1" customFormat="1" x14ac:dyDescent="0.3">
      <c r="A13" s="267">
        <v>11</v>
      </c>
      <c r="B13" s="268" t="s">
        <v>78</v>
      </c>
      <c r="C13" s="268" t="s">
        <v>143</v>
      </c>
      <c r="D13" s="268" t="s">
        <v>144</v>
      </c>
      <c r="E13" s="269" t="s">
        <v>136</v>
      </c>
      <c r="F13" s="269" t="s">
        <v>135</v>
      </c>
      <c r="G13" s="269" t="s">
        <v>134</v>
      </c>
      <c r="H13" s="270"/>
    </row>
    <row r="14" spans="1:11" s="1" customFormat="1" x14ac:dyDescent="0.3">
      <c r="A14" s="267">
        <v>12</v>
      </c>
      <c r="B14" s="268" t="s">
        <v>78</v>
      </c>
      <c r="C14" s="268" t="s">
        <v>145</v>
      </c>
      <c r="D14" s="268" t="s">
        <v>259</v>
      </c>
      <c r="E14" s="269" t="s">
        <v>134</v>
      </c>
      <c r="F14" s="269" t="s">
        <v>135</v>
      </c>
      <c r="G14" s="269" t="s">
        <v>136</v>
      </c>
      <c r="H14" s="270"/>
    </row>
    <row r="15" spans="1:11" s="1" customFormat="1" x14ac:dyDescent="0.3">
      <c r="A15" s="267">
        <v>13</v>
      </c>
      <c r="B15" s="268" t="s">
        <v>78</v>
      </c>
      <c r="C15" s="268" t="s">
        <v>145</v>
      </c>
      <c r="D15" s="268" t="s">
        <v>260</v>
      </c>
      <c r="E15" s="269" t="s">
        <v>134</v>
      </c>
      <c r="F15" s="269" t="s">
        <v>135</v>
      </c>
      <c r="G15" s="269" t="s">
        <v>136</v>
      </c>
      <c r="H15" s="270"/>
    </row>
    <row r="16" spans="1:11" s="1" customFormat="1" x14ac:dyDescent="0.3">
      <c r="A16" s="267">
        <v>14</v>
      </c>
      <c r="B16" s="268" t="s">
        <v>78</v>
      </c>
      <c r="C16" s="268" t="s">
        <v>81</v>
      </c>
      <c r="D16" s="268" t="s">
        <v>261</v>
      </c>
      <c r="E16" s="269" t="s">
        <v>136</v>
      </c>
      <c r="F16" s="269" t="s">
        <v>136</v>
      </c>
      <c r="G16" s="269" t="s">
        <v>134</v>
      </c>
      <c r="H16" s="270"/>
    </row>
    <row r="17" spans="1:8" s="1" customFormat="1" x14ac:dyDescent="0.3">
      <c r="A17" s="267">
        <v>15</v>
      </c>
      <c r="B17" s="268" t="s">
        <v>78</v>
      </c>
      <c r="C17" s="268" t="s">
        <v>262</v>
      </c>
      <c r="D17" s="268" t="s">
        <v>263</v>
      </c>
      <c r="E17" s="269" t="s">
        <v>136</v>
      </c>
      <c r="F17" s="269" t="s">
        <v>135</v>
      </c>
      <c r="G17" s="269" t="s">
        <v>134</v>
      </c>
      <c r="H17" s="270"/>
    </row>
    <row r="18" spans="1:8" s="1" customFormat="1" x14ac:dyDescent="0.3">
      <c r="A18" s="267">
        <v>16</v>
      </c>
      <c r="B18" s="268" t="s">
        <v>78</v>
      </c>
      <c r="C18" s="268" t="s">
        <v>264</v>
      </c>
      <c r="D18" s="268" t="s">
        <v>265</v>
      </c>
      <c r="E18" s="269" t="s">
        <v>136</v>
      </c>
      <c r="F18" s="269" t="s">
        <v>135</v>
      </c>
      <c r="G18" s="269" t="s">
        <v>134</v>
      </c>
      <c r="H18" s="270"/>
    </row>
    <row r="19" spans="1:8" s="1" customFormat="1" x14ac:dyDescent="0.3">
      <c r="A19" s="267">
        <v>17</v>
      </c>
      <c r="B19" s="268" t="s">
        <v>78</v>
      </c>
      <c r="C19" s="268" t="s">
        <v>266</v>
      </c>
      <c r="D19" s="268" t="s">
        <v>267</v>
      </c>
      <c r="E19" s="269" t="s">
        <v>136</v>
      </c>
      <c r="F19" s="269" t="s">
        <v>135</v>
      </c>
      <c r="G19" s="269" t="s">
        <v>134</v>
      </c>
      <c r="H19" s="270"/>
    </row>
    <row r="20" spans="1:8" s="1" customFormat="1" x14ac:dyDescent="0.3">
      <c r="A20" s="267">
        <v>18</v>
      </c>
      <c r="B20" s="268" t="s">
        <v>78</v>
      </c>
      <c r="C20" s="268" t="s">
        <v>145</v>
      </c>
      <c r="D20" s="268" t="s">
        <v>268</v>
      </c>
      <c r="E20" s="269" t="s">
        <v>134</v>
      </c>
      <c r="F20" s="269" t="s">
        <v>135</v>
      </c>
      <c r="G20" s="269" t="s">
        <v>137</v>
      </c>
      <c r="H20" s="270"/>
    </row>
    <row r="21" spans="1:8" s="1" customFormat="1" x14ac:dyDescent="0.3">
      <c r="A21" s="267">
        <v>19</v>
      </c>
      <c r="B21" s="268" t="s">
        <v>76</v>
      </c>
      <c r="C21" s="268" t="s">
        <v>147</v>
      </c>
      <c r="D21" s="268" t="s">
        <v>269</v>
      </c>
      <c r="E21" s="269" t="s">
        <v>134</v>
      </c>
      <c r="F21" s="269" t="s">
        <v>136</v>
      </c>
      <c r="G21" s="269" t="s">
        <v>137</v>
      </c>
      <c r="H21" s="270"/>
    </row>
    <row r="22" spans="1:8" s="1" customFormat="1" x14ac:dyDescent="0.3">
      <c r="A22" s="267">
        <v>20</v>
      </c>
      <c r="B22" s="268" t="s">
        <v>76</v>
      </c>
      <c r="C22" s="268" t="s">
        <v>147</v>
      </c>
      <c r="D22" s="268" t="s">
        <v>270</v>
      </c>
      <c r="E22" s="269" t="s">
        <v>137</v>
      </c>
      <c r="F22" s="269" t="s">
        <v>136</v>
      </c>
      <c r="G22" s="269" t="s">
        <v>134</v>
      </c>
      <c r="H22" s="270"/>
    </row>
    <row r="23" spans="1:8" s="1" customFormat="1" x14ac:dyDescent="0.3">
      <c r="A23" s="267">
        <v>21</v>
      </c>
      <c r="B23" s="268" t="s">
        <v>76</v>
      </c>
      <c r="C23" s="268" t="s">
        <v>147</v>
      </c>
      <c r="D23" s="268" t="s">
        <v>271</v>
      </c>
      <c r="E23" s="269" t="s">
        <v>134</v>
      </c>
      <c r="F23" s="269" t="s">
        <v>136</v>
      </c>
      <c r="G23" s="269" t="s">
        <v>137</v>
      </c>
      <c r="H23" s="270"/>
    </row>
    <row r="24" spans="1:8" s="1" customFormat="1" x14ac:dyDescent="0.3">
      <c r="A24" s="267">
        <v>22</v>
      </c>
      <c r="B24" s="268" t="s">
        <v>8</v>
      </c>
      <c r="C24" s="268" t="s">
        <v>81</v>
      </c>
      <c r="D24" s="268" t="s">
        <v>272</v>
      </c>
      <c r="E24" s="269" t="s">
        <v>137</v>
      </c>
      <c r="F24" s="269" t="s">
        <v>136</v>
      </c>
      <c r="G24" s="269" t="s">
        <v>134</v>
      </c>
      <c r="H24" s="270"/>
    </row>
    <row r="25" spans="1:8" s="1" customFormat="1" x14ac:dyDescent="0.3">
      <c r="A25" s="267">
        <v>23</v>
      </c>
      <c r="B25" s="268" t="s">
        <v>8</v>
      </c>
      <c r="C25" s="268" t="s">
        <v>273</v>
      </c>
      <c r="D25" s="268" t="s">
        <v>274</v>
      </c>
      <c r="E25" s="269" t="s">
        <v>134</v>
      </c>
      <c r="F25" s="269" t="s">
        <v>135</v>
      </c>
      <c r="G25" s="269" t="s">
        <v>136</v>
      </c>
      <c r="H25" s="270"/>
    </row>
    <row r="26" spans="1:8" s="1" customFormat="1" x14ac:dyDescent="0.3">
      <c r="A26" s="267">
        <v>24</v>
      </c>
      <c r="B26" s="268" t="s">
        <v>8</v>
      </c>
      <c r="C26" s="268" t="s">
        <v>273</v>
      </c>
      <c r="D26" s="268" t="s">
        <v>275</v>
      </c>
      <c r="E26" s="269" t="s">
        <v>134</v>
      </c>
      <c r="F26" s="269" t="s">
        <v>135</v>
      </c>
      <c r="G26" s="269" t="s">
        <v>136</v>
      </c>
      <c r="H26" s="270"/>
    </row>
    <row r="27" spans="1:8" s="1" customFormat="1" x14ac:dyDescent="0.3">
      <c r="A27" s="267">
        <v>25</v>
      </c>
      <c r="B27" s="268" t="s">
        <v>80</v>
      </c>
      <c r="C27" s="268" t="s">
        <v>143</v>
      </c>
      <c r="D27" s="268" t="s">
        <v>149</v>
      </c>
      <c r="E27" s="269" t="s">
        <v>136</v>
      </c>
      <c r="F27" s="269" t="s">
        <v>135</v>
      </c>
      <c r="G27" s="269" t="s">
        <v>134</v>
      </c>
      <c r="H27" s="270"/>
    </row>
    <row r="28" spans="1:8" s="1" customFormat="1" x14ac:dyDescent="0.3">
      <c r="A28" s="267">
        <v>26</v>
      </c>
      <c r="B28" s="268" t="s">
        <v>80</v>
      </c>
      <c r="C28" s="268" t="s">
        <v>145</v>
      </c>
      <c r="D28" s="268" t="s">
        <v>150</v>
      </c>
      <c r="E28" s="269" t="s">
        <v>134</v>
      </c>
      <c r="F28" s="269" t="s">
        <v>135</v>
      </c>
      <c r="G28" s="269" t="s">
        <v>136</v>
      </c>
      <c r="H28" s="270"/>
    </row>
    <row r="29" spans="1:8" s="1" customFormat="1" x14ac:dyDescent="0.3">
      <c r="A29" s="267">
        <v>27</v>
      </c>
      <c r="B29" s="268" t="s">
        <v>80</v>
      </c>
      <c r="C29" s="268" t="s">
        <v>145</v>
      </c>
      <c r="D29" s="268" t="s">
        <v>276</v>
      </c>
      <c r="E29" s="269" t="s">
        <v>136</v>
      </c>
      <c r="F29" s="269" t="s">
        <v>135</v>
      </c>
      <c r="G29" s="269" t="s">
        <v>134</v>
      </c>
      <c r="H29" s="270"/>
    </row>
    <row r="30" spans="1:8" s="1" customFormat="1" x14ac:dyDescent="0.3">
      <c r="A30" s="267">
        <v>28</v>
      </c>
      <c r="B30" s="268" t="s">
        <v>72</v>
      </c>
      <c r="C30" s="268" t="s">
        <v>143</v>
      </c>
      <c r="D30" s="268" t="s">
        <v>277</v>
      </c>
      <c r="E30" s="269" t="s">
        <v>134</v>
      </c>
      <c r="F30" s="269" t="s">
        <v>135</v>
      </c>
      <c r="G30" s="269" t="s">
        <v>137</v>
      </c>
      <c r="H30" s="270"/>
    </row>
    <row r="31" spans="1:8" s="1" customFormat="1" x14ac:dyDescent="0.3">
      <c r="A31" s="267">
        <v>29</v>
      </c>
      <c r="B31" s="268" t="s">
        <v>72</v>
      </c>
      <c r="C31" s="268" t="s">
        <v>141</v>
      </c>
      <c r="D31" s="268" t="s">
        <v>278</v>
      </c>
      <c r="E31" s="269" t="s">
        <v>136</v>
      </c>
      <c r="F31" s="269" t="s">
        <v>136</v>
      </c>
      <c r="G31" s="269" t="s">
        <v>134</v>
      </c>
      <c r="H31" s="270"/>
    </row>
    <row r="32" spans="1:8" s="1" customFormat="1" x14ac:dyDescent="0.3">
      <c r="A32" s="267">
        <v>30</v>
      </c>
      <c r="B32" s="268" t="s">
        <v>72</v>
      </c>
      <c r="C32" s="268" t="s">
        <v>141</v>
      </c>
      <c r="D32" s="268" t="s">
        <v>279</v>
      </c>
      <c r="E32" s="269" t="s">
        <v>136</v>
      </c>
      <c r="F32" s="269" t="s">
        <v>136</v>
      </c>
      <c r="G32" s="269" t="s">
        <v>134</v>
      </c>
      <c r="H32" s="270"/>
    </row>
    <row r="33" spans="1:8" s="1" customFormat="1" x14ac:dyDescent="0.3">
      <c r="A33" s="267">
        <v>31</v>
      </c>
      <c r="B33" s="268" t="s">
        <v>72</v>
      </c>
      <c r="C33" s="268" t="s">
        <v>141</v>
      </c>
      <c r="D33" s="268" t="s">
        <v>151</v>
      </c>
      <c r="E33" s="269" t="s">
        <v>136</v>
      </c>
      <c r="F33" s="269" t="s">
        <v>136</v>
      </c>
      <c r="G33" s="269" t="s">
        <v>134</v>
      </c>
      <c r="H33" s="270"/>
    </row>
    <row r="34" spans="1:8" s="1" customFormat="1" x14ac:dyDescent="0.3">
      <c r="A34" s="267">
        <v>32</v>
      </c>
      <c r="B34" s="268" t="s">
        <v>72</v>
      </c>
      <c r="C34" s="268" t="s">
        <v>145</v>
      </c>
      <c r="D34" s="268" t="s">
        <v>280</v>
      </c>
      <c r="E34" s="269" t="s">
        <v>134</v>
      </c>
      <c r="F34" s="269" t="s">
        <v>136</v>
      </c>
      <c r="G34" s="269" t="s">
        <v>137</v>
      </c>
      <c r="H34" s="270"/>
    </row>
    <row r="35" spans="1:8" s="1" customFormat="1" x14ac:dyDescent="0.3">
      <c r="A35" s="267">
        <v>33</v>
      </c>
      <c r="B35" s="268" t="s">
        <v>72</v>
      </c>
      <c r="C35" s="268" t="s">
        <v>141</v>
      </c>
      <c r="D35" s="268" t="s">
        <v>281</v>
      </c>
      <c r="E35" s="269" t="s">
        <v>137</v>
      </c>
      <c r="F35" s="269" t="s">
        <v>136</v>
      </c>
      <c r="G35" s="269" t="s">
        <v>134</v>
      </c>
      <c r="H35" s="270"/>
    </row>
    <row r="36" spans="1:8" s="1" customFormat="1" ht="22.8" x14ac:dyDescent="0.3">
      <c r="A36" s="267">
        <v>34</v>
      </c>
      <c r="B36" s="268" t="s">
        <v>152</v>
      </c>
      <c r="C36" s="268" t="s">
        <v>141</v>
      </c>
      <c r="D36" s="268" t="s">
        <v>153</v>
      </c>
      <c r="E36" s="269" t="s">
        <v>137</v>
      </c>
      <c r="F36" s="269" t="s">
        <v>136</v>
      </c>
      <c r="G36" s="269" t="s">
        <v>134</v>
      </c>
      <c r="H36" s="270"/>
    </row>
    <row r="37" spans="1:8" s="1" customFormat="1" ht="22.8" x14ac:dyDescent="0.3">
      <c r="A37" s="267">
        <v>35</v>
      </c>
      <c r="B37" s="268" t="s">
        <v>152</v>
      </c>
      <c r="C37" s="268" t="s">
        <v>143</v>
      </c>
      <c r="D37" s="268" t="s">
        <v>154</v>
      </c>
      <c r="E37" s="269" t="s">
        <v>134</v>
      </c>
      <c r="F37" s="269" t="s">
        <v>135</v>
      </c>
      <c r="G37" s="269" t="s">
        <v>137</v>
      </c>
      <c r="H37" s="270"/>
    </row>
    <row r="38" spans="1:8" s="1" customFormat="1" x14ac:dyDescent="0.3">
      <c r="A38" s="267">
        <v>36</v>
      </c>
      <c r="B38" s="268" t="s">
        <v>152</v>
      </c>
      <c r="C38" s="268" t="s">
        <v>141</v>
      </c>
      <c r="D38" s="268" t="s">
        <v>282</v>
      </c>
      <c r="E38" s="269" t="s">
        <v>137</v>
      </c>
      <c r="F38" s="269" t="s">
        <v>136</v>
      </c>
      <c r="G38" s="269" t="s">
        <v>134</v>
      </c>
      <c r="H38" s="270"/>
    </row>
    <row r="39" spans="1:8" s="1" customFormat="1" x14ac:dyDescent="0.3">
      <c r="A39" s="267">
        <v>37</v>
      </c>
      <c r="B39" s="268" t="s">
        <v>152</v>
      </c>
      <c r="C39" s="268" t="s">
        <v>143</v>
      </c>
      <c r="D39" s="268" t="s">
        <v>283</v>
      </c>
      <c r="E39" s="269" t="s">
        <v>134</v>
      </c>
      <c r="F39" s="269" t="s">
        <v>135</v>
      </c>
      <c r="G39" s="269" t="s">
        <v>137</v>
      </c>
      <c r="H39" s="270"/>
    </row>
    <row r="40" spans="1:8" s="1" customFormat="1" ht="22.8" x14ac:dyDescent="0.3">
      <c r="A40" s="267">
        <v>38</v>
      </c>
      <c r="B40" s="268" t="s">
        <v>152</v>
      </c>
      <c r="C40" s="268" t="s">
        <v>143</v>
      </c>
      <c r="D40" s="268" t="s">
        <v>284</v>
      </c>
      <c r="E40" s="269" t="s">
        <v>134</v>
      </c>
      <c r="F40" s="269" t="s">
        <v>135</v>
      </c>
      <c r="G40" s="269" t="s">
        <v>137</v>
      </c>
      <c r="H40" s="270"/>
    </row>
    <row r="41" spans="1:8" s="1" customFormat="1" ht="22.8" x14ac:dyDescent="0.3">
      <c r="A41" s="267">
        <v>39</v>
      </c>
      <c r="B41" s="268" t="s">
        <v>152</v>
      </c>
      <c r="C41" s="268" t="s">
        <v>143</v>
      </c>
      <c r="D41" s="268" t="s">
        <v>285</v>
      </c>
      <c r="E41" s="269" t="s">
        <v>134</v>
      </c>
      <c r="F41" s="269" t="s">
        <v>135</v>
      </c>
      <c r="G41" s="269" t="s">
        <v>137</v>
      </c>
      <c r="H41" s="270"/>
    </row>
    <row r="42" spans="1:8" s="1" customFormat="1" x14ac:dyDescent="0.3">
      <c r="A42" s="267">
        <v>40</v>
      </c>
      <c r="B42" s="268" t="s">
        <v>152</v>
      </c>
      <c r="C42" s="268" t="s">
        <v>141</v>
      </c>
      <c r="D42" s="268" t="s">
        <v>286</v>
      </c>
      <c r="E42" s="269" t="s">
        <v>137</v>
      </c>
      <c r="F42" s="269" t="s">
        <v>136</v>
      </c>
      <c r="G42" s="269" t="s">
        <v>134</v>
      </c>
      <c r="H42" s="270"/>
    </row>
    <row r="43" spans="1:8" s="1" customFormat="1" x14ac:dyDescent="0.3">
      <c r="A43" s="267">
        <v>41</v>
      </c>
      <c r="B43" s="268" t="s">
        <v>152</v>
      </c>
      <c r="C43" s="268" t="s">
        <v>141</v>
      </c>
      <c r="D43" s="268" t="s">
        <v>155</v>
      </c>
      <c r="E43" s="269" t="s">
        <v>137</v>
      </c>
      <c r="F43" s="269" t="s">
        <v>136</v>
      </c>
      <c r="G43" s="269" t="s">
        <v>134</v>
      </c>
      <c r="H43" s="270"/>
    </row>
    <row r="44" spans="1:8" s="1" customFormat="1" x14ac:dyDescent="0.3"/>
    <row r="45" spans="1:8" s="1" customFormat="1" x14ac:dyDescent="0.3"/>
    <row r="46" spans="1:8" s="1" customFormat="1" x14ac:dyDescent="0.3"/>
    <row r="47" spans="1:8" s="1" customFormat="1" x14ac:dyDescent="0.3"/>
    <row r="48" spans="1:8" s="1" customFormat="1" x14ac:dyDescent="0.3"/>
    <row r="49" spans="1:8" s="1" customFormat="1" x14ac:dyDescent="0.3"/>
    <row r="50" spans="1:8" s="1" customFormat="1" x14ac:dyDescent="0.3"/>
    <row r="51" spans="1:8" s="1" customFormat="1" x14ac:dyDescent="0.3"/>
    <row r="52" spans="1:8" s="1" customFormat="1" x14ac:dyDescent="0.3"/>
    <row r="53" spans="1:8" s="1" customFormat="1" x14ac:dyDescent="0.3"/>
    <row r="54" spans="1:8" s="1" customFormat="1" x14ac:dyDescent="0.3"/>
    <row r="55" spans="1:8" s="1" customFormat="1" x14ac:dyDescent="0.3"/>
    <row r="56" spans="1:8" x14ac:dyDescent="0.3">
      <c r="A56" s="1"/>
      <c r="B56" s="1"/>
      <c r="C56" s="1"/>
      <c r="D56" s="1"/>
      <c r="E56" s="1"/>
      <c r="F56" s="1"/>
      <c r="G56" s="1"/>
      <c r="H56" s="1"/>
    </row>
    <row r="57" spans="1:8" x14ac:dyDescent="0.3">
      <c r="A57" s="1"/>
      <c r="B57" s="1"/>
      <c r="C57" s="1"/>
      <c r="D57" s="1"/>
      <c r="E57" s="1"/>
      <c r="F57" s="1"/>
      <c r="G57" s="1"/>
      <c r="H57" s="1"/>
    </row>
    <row r="58" spans="1:8" x14ac:dyDescent="0.3">
      <c r="A58" s="1"/>
      <c r="B58" s="1"/>
      <c r="C58" s="1"/>
      <c r="D58" s="1"/>
      <c r="E58" s="1"/>
      <c r="F58" s="1"/>
      <c r="G58" s="1"/>
      <c r="H58" s="1"/>
    </row>
    <row r="59" spans="1:8" x14ac:dyDescent="0.3">
      <c r="A59" s="1"/>
      <c r="B59" s="1"/>
      <c r="C59" s="1"/>
      <c r="D59" s="1"/>
      <c r="E59" s="1"/>
      <c r="F59" s="1"/>
      <c r="G59" s="1"/>
      <c r="H59" s="1"/>
    </row>
  </sheetData>
  <mergeCells count="1">
    <mergeCell ref="A1:K1"/>
  </mergeCells>
  <conditionalFormatting sqref="E3:G43">
    <cfRule type="cellIs" dxfId="0" priority="1" operator="equal">
      <formula>"r"</formula>
    </cfRule>
  </conditionalFormatting>
  <pageMargins left="0.7" right="0.7" top="0.75" bottom="0.75" header="0.3" footer="0.3"/>
  <headerFooter>
    <oddHeader>&amp;C&amp;"Aptos"&amp;10&amp;K008000 Confidential GREEN&amp;1#_x000D_</oddHead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DE36-F139-4A09-9598-A3FE9ABD6E02}">
  <dimension ref="C1:E10"/>
  <sheetViews>
    <sheetView workbookViewId="0">
      <selection activeCell="G21" sqref="G21"/>
    </sheetView>
  </sheetViews>
  <sheetFormatPr defaultRowHeight="14.4" x14ac:dyDescent="0.3"/>
  <cols>
    <col min="3" max="3" width="20.5546875" customWidth="1"/>
    <col min="4" max="4" width="18.33203125" bestFit="1" customWidth="1"/>
    <col min="5" max="5" width="16.109375" bestFit="1" customWidth="1"/>
  </cols>
  <sheetData>
    <row r="1" spans="3:5" x14ac:dyDescent="0.3">
      <c r="C1" s="460" t="s">
        <v>64</v>
      </c>
      <c r="D1" s="460"/>
      <c r="E1" s="460"/>
    </row>
    <row r="2" spans="3:5" x14ac:dyDescent="0.3">
      <c r="C2" t="s">
        <v>49</v>
      </c>
      <c r="D2" t="s">
        <v>54</v>
      </c>
      <c r="E2" t="s">
        <v>61</v>
      </c>
    </row>
    <row r="3" spans="3:5" x14ac:dyDescent="0.3">
      <c r="C3" t="s">
        <v>50</v>
      </c>
      <c r="D3" t="s">
        <v>55</v>
      </c>
      <c r="E3" t="s">
        <v>62</v>
      </c>
    </row>
    <row r="4" spans="3:5" x14ac:dyDescent="0.3">
      <c r="C4" t="s">
        <v>51</v>
      </c>
      <c r="D4" t="s">
        <v>56</v>
      </c>
      <c r="E4" t="s">
        <v>63</v>
      </c>
    </row>
    <row r="5" spans="3:5" x14ac:dyDescent="0.3">
      <c r="C5" t="s">
        <v>52</v>
      </c>
      <c r="D5" t="s">
        <v>57</v>
      </c>
      <c r="E5" t="s">
        <v>65</v>
      </c>
    </row>
    <row r="6" spans="3:5" x14ac:dyDescent="0.3">
      <c r="C6" t="s">
        <v>53</v>
      </c>
      <c r="D6" t="s">
        <v>58</v>
      </c>
    </row>
    <row r="7" spans="3:5" x14ac:dyDescent="0.3">
      <c r="C7" t="s">
        <v>9</v>
      </c>
      <c r="D7" t="s">
        <v>59</v>
      </c>
    </row>
    <row r="8" spans="3:5" x14ac:dyDescent="0.3">
      <c r="C8" t="s">
        <v>65</v>
      </c>
      <c r="D8" t="s">
        <v>60</v>
      </c>
    </row>
    <row r="9" spans="3:5" x14ac:dyDescent="0.3">
      <c r="D9" t="s">
        <v>9</v>
      </c>
    </row>
    <row r="10" spans="3:5" x14ac:dyDescent="0.3">
      <c r="D10" t="s">
        <v>65</v>
      </c>
    </row>
  </sheetData>
  <mergeCells count="1">
    <mergeCell ref="C1:E1"/>
  </mergeCells>
  <pageMargins left="0.7" right="0.7" top="0.75" bottom="0.75" header="0.3" footer="0.3"/>
  <headerFooter>
    <oddHeader>&amp;C&amp;"Aptos"&amp;10&amp;K008000 Confidential GREEN&amp;1#_x000D_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8EF2833568A49A8CED28B5413582C" ma:contentTypeVersion="14" ma:contentTypeDescription="Create a new document." ma:contentTypeScope="" ma:versionID="5d9633d7e75157f8995100eb72c8b8b3">
  <xsd:schema xmlns:xsd="http://www.w3.org/2001/XMLSchema" xmlns:xs="http://www.w3.org/2001/XMLSchema" xmlns:p="http://schemas.microsoft.com/office/2006/metadata/properties" xmlns:ns2="5c55eee7-73c4-40e3-9340-843d85a71399" xmlns:ns3="2276fa0b-f9bd-4fef-8fec-3fee4e5b0fd7" targetNamespace="http://schemas.microsoft.com/office/2006/metadata/properties" ma:root="true" ma:fieldsID="2383eb7cb52d38f9366897c2eb983331" ns2:_="" ns3:_="">
    <xsd:import namespace="5c55eee7-73c4-40e3-9340-843d85a71399"/>
    <xsd:import namespace="2276fa0b-f9bd-4fef-8fec-3fee4e5b0fd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5eee7-73c4-40e3-9340-843d85a713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2b67772-a4cd-40c9-98e3-aea6ed21fe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76fa0b-f9bd-4fef-8fec-3fee4e5b0fd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c55eee7-73c4-40e3-9340-843d85a7139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A9E950-D4C3-46FE-9AD7-3E3B7D9ED7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5eee7-73c4-40e3-9340-843d85a71399"/>
    <ds:schemaRef ds:uri="2276fa0b-f9bd-4fef-8fec-3fee4e5b0f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606C37-95FF-4BD6-B2AD-68E44F901C9D}">
  <ds:schemaRefs>
    <ds:schemaRef ds:uri="http://purl.org/dc/elements/1.1/"/>
    <ds:schemaRef ds:uri="http://schemas.microsoft.com/office/infopath/2007/PartnerControls"/>
    <ds:schemaRef ds:uri="http://schemas.microsoft.com/office/2006/documentManagement/types"/>
    <ds:schemaRef ds:uri="http://purl.org/dc/terms/"/>
    <ds:schemaRef ds:uri="http://purl.org/dc/dcmitype/"/>
    <ds:schemaRef ds:uri="494f3559-f1a5-4962-96ef-16cd66328bf2"/>
    <ds:schemaRef ds:uri="http://www.w3.org/XML/1998/namespace"/>
    <ds:schemaRef ds:uri="http://schemas.openxmlformats.org/package/2006/metadata/core-properties"/>
    <ds:schemaRef ds:uri="225543d1-4cbe-4cc2-900b-62adb7b62998"/>
    <ds:schemaRef ds:uri="http://schemas.microsoft.com/office/2006/metadata/properties"/>
    <ds:schemaRef ds:uri="5c55eee7-73c4-40e3-9340-843d85a71399"/>
  </ds:schemaRefs>
</ds:datastoreItem>
</file>

<file path=customXml/itemProps3.xml><?xml version="1.0" encoding="utf-8"?>
<ds:datastoreItem xmlns:ds="http://schemas.openxmlformats.org/officeDocument/2006/customXml" ds:itemID="{BF453364-DB92-402F-BF92-7BFF8D2AB2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1. Requirements</vt:lpstr>
      <vt:lpstr>2.Effort Estimation</vt:lpstr>
      <vt:lpstr>3.Planned Schedule</vt:lpstr>
      <vt:lpstr>4.Planned Expenses</vt:lpstr>
      <vt:lpstr>5. Success Factors</vt:lpstr>
      <vt:lpstr>6. Overall- RACI</vt:lpstr>
      <vt:lpstr>7. Project RACI</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Tarique</dc:creator>
  <cp:keywords/>
  <dc:description/>
  <cp:lastModifiedBy>Goyal Sanjay (Smart Controls)</cp:lastModifiedBy>
  <cp:revision/>
  <cp:lastPrinted>2021-10-07T18:28:22Z</cp:lastPrinted>
  <dcterms:created xsi:type="dcterms:W3CDTF">2021-03-04T08:30:01Z</dcterms:created>
  <dcterms:modified xsi:type="dcterms:W3CDTF">2026-06-10T05:10:09Z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0x0101006AC8EF2833568A49A8CED28B5413582C</vt:lpwstr>
  </property>
  <property fmtid="{D5CDD505-2E9C-101B-9397-08002B2CF9AE}" pid="3" name="MediaServiceImageTags">
    <vt:lpwstr/>
  </property>
  <property fmtid="{D5CDD505-2E9C-101B-9397-08002B2CF9AE}" pid="4" name="MSIP_Label_ba9a201e-2387-47a9-b4a3-a6bdc4a09bb6_Enabled">
    <vt:lpwstr>true</vt:lpwstr>
  </property>
  <property fmtid="{D5CDD505-2E9C-101B-9397-08002B2CF9AE}" pid="5" name="MSIP_Label_ba9a201e-2387-47a9-b4a3-a6bdc4a09bb6_SetDate">
    <vt:lpwstr>2026-05-05T12:55:46Z</vt:lpwstr>
  </property>
  <property fmtid="{D5CDD505-2E9C-101B-9397-08002B2CF9AE}" pid="6" name="MSIP_Label_ba9a201e-2387-47a9-b4a3-a6bdc4a09bb6_Method">
    <vt:lpwstr>Standard</vt:lpwstr>
  </property>
  <property fmtid="{D5CDD505-2E9C-101B-9397-08002B2CF9AE}" pid="7" name="MSIP_Label_ba9a201e-2387-47a9-b4a3-a6bdc4a09bb6_Name">
    <vt:lpwstr>GREEN Universal</vt:lpwstr>
  </property>
  <property fmtid="{D5CDD505-2E9C-101B-9397-08002B2CF9AE}" pid="8" name="MSIP_Label_ba9a201e-2387-47a9-b4a3-a6bdc4a09bb6_SiteId">
    <vt:lpwstr>0250981a-1133-49e1-ba8e-3b02b77bfa04</vt:lpwstr>
  </property>
  <property fmtid="{D5CDD505-2E9C-101B-9397-08002B2CF9AE}" pid="9" name="MSIP_Label_ba9a201e-2387-47a9-b4a3-a6bdc4a09bb6_ActionId">
    <vt:lpwstr>f0801b97-abaf-4326-9d1e-76cc5ca2a793</vt:lpwstr>
  </property>
  <property fmtid="{D5CDD505-2E9C-101B-9397-08002B2CF9AE}" pid="10" name="MSIP_Label_ba9a201e-2387-47a9-b4a3-a6bdc4a09bb6_ContentBits">
    <vt:lpwstr>1</vt:lpwstr>
  </property>
  <property fmtid="{D5CDD505-2E9C-101B-9397-08002B2CF9AE}" pid="11" name="MSIP_Label_ba9a201e-2387-47a9-b4a3-a6bdc4a09bb6_Tag">
    <vt:lpwstr>10, 3, 0, 1</vt:lpwstr>
  </property>
</Properties>
</file>